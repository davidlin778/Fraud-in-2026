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Gantt Chart" sheetId="3" state="visible" r:id="rId3"/>
    <sheet xmlns:r="http://schemas.openxmlformats.org/officeDocument/2006/relationships" name="Activities" sheetId="4" state="visible" r:id="rId4"/>
    <sheet xmlns:r="http://schemas.openxmlformats.org/officeDocument/2006/relationships" name="Team Coordination" sheetId="5" state="visible" r:id="rId5"/>
    <sheet xmlns:r="http://schemas.openxmlformats.org/officeDocument/2006/relationships" name="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ptos Narrow"/>
      <b val="1"/>
      <color rgb="00FFFFFF"/>
      <sz val="14"/>
    </font>
    <font>
      <name val="Aptos Narrow"/>
      <sz val="11"/>
    </font>
    <font>
      <name val="Aptos Narrow"/>
      <b val="1"/>
      <sz val="11"/>
    </font>
    <font>
      <name val="Aptos Narrow"/>
      <b val="1"/>
      <color rgb="00404040"/>
      <sz val="11"/>
    </font>
    <font>
      <name val="Aptos Narrow"/>
      <i val="1"/>
      <color rgb="00404040"/>
      <sz val="10"/>
    </font>
    <font>
      <name val="Aptos Narrow"/>
      <b val="1"/>
      <color rgb="00196B24"/>
      <sz val="20"/>
    </font>
    <font>
      <name val="Aptos Narrow"/>
      <b val="1"/>
      <color rgb="00196B24"/>
      <sz val="12"/>
    </font>
    <font>
      <name val="Aptos Narrow"/>
      <sz val="10.5"/>
    </font>
    <font>
      <name val="Aptos Narrow"/>
      <b val="1"/>
      <sz val="10.5"/>
    </font>
    <font>
      <name val="Aptos Narrow"/>
      <b val="1"/>
      <color rgb="00196B24"/>
      <sz val="11"/>
    </font>
    <font>
      <name val="Aptos Narrow"/>
      <b val="1"/>
      <color rgb="00196B24"/>
      <sz val="14"/>
    </font>
    <font>
      <name val="Aptos Narrow"/>
      <i val="1"/>
      <color rgb="00757575"/>
      <sz val="11"/>
    </font>
  </fonts>
  <fills count="6">
    <fill>
      <patternFill/>
    </fill>
    <fill>
      <patternFill patternType="gray125"/>
    </fill>
    <fill>
      <patternFill patternType="solid">
        <fgColor rgb="00196B24"/>
      </patternFill>
    </fill>
    <fill>
      <patternFill patternType="solid">
        <fgColor rgb="00DCEDD5"/>
      </patternFill>
    </fill>
    <fill>
      <patternFill patternType="solid">
        <fgColor rgb="00D9E1F2"/>
      </patternFill>
    </fill>
    <fill>
      <patternFill patternType="solid">
        <fgColor rgb="0086BC2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center"/>
    </xf>
    <xf numFmtId="0" fontId="8" fillId="0" borderId="0" pivotButton="0" quotePrefix="0" xfId="0"/>
    <xf numFmtId="0" fontId="9" fillId="4" borderId="1" applyAlignment="1" pivotButton="0" quotePrefix="0" xfId="0">
      <alignment horizontal="left" vertical="center" wrapText="1" indent="1"/>
    </xf>
    <xf numFmtId="0" fontId="0" fillId="5" borderId="1" pivotButton="0" quotePrefix="0" xfId="0"/>
    <xf numFmtId="0" fontId="0" fillId="0" borderId="1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5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 inden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57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6" customHeight="1">
      <c r="A1" s="1" t="inlineStr">
        <is>
          <t>How to use — D.fend Fin Crime Forum Workback Plan</t>
        </is>
      </c>
      <c r="B1" s="2" t="n"/>
    </row>
    <row r="2">
      <c r="A2" s="3" t="inlineStr"/>
      <c r="B2" s="3" t="inlineStr"/>
    </row>
    <row r="3">
      <c r="A3" s="4" t="inlineStr">
        <is>
          <t>'Dashboard' tab</t>
        </is>
      </c>
      <c r="B3" s="3" t="inlineStr"/>
    </row>
    <row r="4" ht="45" customHeight="1">
      <c r="A4" s="3" t="inlineStr"/>
      <c r="B4" s="3" t="inlineStr">
        <is>
          <t>The dashboard gives a high-level summary of all activities on the 'Activities' tab: total activities, completed vs. outstanding tasks, progress by workstream, and outstanding tasks by owner. Use it to quickly gauge overall Forum readiness and spot areas needing attention.</t>
        </is>
      </c>
    </row>
    <row r="5">
      <c r="A5" s="3" t="inlineStr"/>
      <c r="B5" s="3" t="inlineStr"/>
    </row>
    <row r="6">
      <c r="A6" s="4" t="inlineStr">
        <is>
          <t>'Gantt Chart' tab</t>
        </is>
      </c>
      <c r="B6" s="3" t="inlineStr"/>
    </row>
    <row r="7" ht="45" customHeight="1">
      <c r="A7" s="3" t="inlineStr"/>
      <c r="B7" s="3" t="inlineStr">
        <is>
          <t>A week-by-week view of when each workstream is active, from kickoff through the Forum date and post-event wrap-up. Use it for a quick visual of what should be running in any given week.</t>
        </is>
      </c>
    </row>
    <row r="8">
      <c r="A8" s="3" t="inlineStr"/>
      <c r="B8" s="3" t="inlineStr"/>
    </row>
    <row r="9">
      <c r="A9" s="4" t="inlineStr">
        <is>
          <t>'Activities' tab</t>
        </is>
      </c>
      <c r="B9" s="3" t="inlineStr"/>
    </row>
    <row r="10" ht="30" customHeight="1">
      <c r="A10" s="3" t="inlineStr">
        <is>
          <t>Term</t>
        </is>
      </c>
      <c r="B10" s="3" t="inlineStr">
        <is>
          <t>Description</t>
        </is>
      </c>
    </row>
    <row r="11" ht="45" customHeight="1">
      <c r="A11" s="3" t="inlineStr">
        <is>
          <t>Workstream</t>
        </is>
      </c>
      <c r="B11" s="3" t="inlineStr">
        <is>
          <t>Grouping of related activities by phase of the event (e.g., Survey Fielding &amp; Insights, Venue and Catering Finalization).</t>
        </is>
      </c>
    </row>
    <row r="12" ht="30" customHeight="1">
      <c r="A12" s="3" t="inlineStr">
        <is>
          <t>Activity</t>
        </is>
      </c>
      <c r="B12" s="3" t="inlineStr">
        <is>
          <t>A specific task that needs to be completed within a workstream (start with a verb).</t>
        </is>
      </c>
    </row>
    <row r="13" ht="30" customHeight="1">
      <c r="A13" s="3" t="inlineStr">
        <is>
          <t>What "Done" Looks Like</t>
        </is>
      </c>
      <c r="B13" s="3" t="inlineStr">
        <is>
          <t>Clear definition of what successful completion of the activity looks like.</t>
        </is>
      </c>
    </row>
    <row r="14" ht="30" customHeight="1">
      <c r="A14" s="3" t="inlineStr">
        <is>
          <t>Dependencies</t>
        </is>
      </c>
      <c r="B14" s="3" t="inlineStr">
        <is>
          <t>Other activity number(s) that must be complete first, and why.</t>
        </is>
      </c>
    </row>
    <row r="15" ht="30" customHeight="1">
      <c r="A15" s="3" t="inlineStr">
        <is>
          <t>Start / End Date</t>
        </is>
      </c>
      <c r="B15" s="3" t="inlineStr">
        <is>
          <t>Planned start and end date for the activity (yyyy-mm-dd).</t>
        </is>
      </c>
    </row>
    <row r="16" ht="30" customHeight="1">
      <c r="A16" s="3" t="inlineStr">
        <is>
          <t>Duration</t>
        </is>
      </c>
      <c r="B16" s="3" t="inlineStr">
        <is>
          <t>Auto-calculated from Start/End Date once both are filled in.</t>
        </is>
      </c>
    </row>
    <row r="17" ht="30" customHeight="1">
      <c r="A17" s="3" t="inlineStr">
        <is>
          <t>Actual End Date</t>
        </is>
      </c>
      <c r="B17" s="3" t="inlineStr">
        <is>
          <t>The date the activity was actually completed — used to track slippage vs. plan.</t>
        </is>
      </c>
    </row>
    <row r="18" ht="45" customHeight="1">
      <c r="A18" s="3" t="inlineStr">
        <is>
          <t>Ownership</t>
        </is>
      </c>
      <c r="B18" s="3" t="inlineStr">
        <is>
          <t>The person/role responsible for the activity. Keep the 'Dashboard' owner list (cells A26:A32) in sync with who's assigned.</t>
        </is>
      </c>
    </row>
    <row r="19" ht="45" customHeight="1">
      <c r="A19" s="3" t="inlineStr">
        <is>
          <t>Status</t>
        </is>
      </c>
      <c r="B19" s="3" t="inlineStr">
        <is>
          <t>Select from the dropdown: Complete / In progress / --. Cells shade automatically (green = Complete, yellow = In progress).</t>
        </is>
      </c>
    </row>
    <row r="20">
      <c r="A20" s="3" t="inlineStr"/>
      <c r="B20" s="3" t="inlineStr"/>
    </row>
    <row r="21">
      <c r="A21" s="4" t="inlineStr">
        <is>
          <t>'Team Coordination' tab</t>
        </is>
      </c>
      <c r="B21" s="3" t="inlineStr"/>
    </row>
    <row r="22" ht="30" customHeight="1">
      <c r="A22" s="3" t="inlineStr"/>
      <c r="B22" s="3" t="inlineStr">
        <is>
          <t>Day-of roles and responsibilities for the organizing team (registration desk, AV/tech, moderator support, etc.).</t>
        </is>
      </c>
    </row>
    <row r="23">
      <c r="A23" s="3" t="inlineStr"/>
      <c r="B23" s="3" t="inlineStr"/>
    </row>
    <row r="24">
      <c r="A24" s="4" t="inlineStr">
        <is>
          <t>'Reference' tab</t>
        </is>
      </c>
      <c r="B24" s="3" t="inlineStr"/>
    </row>
    <row r="25" ht="45" customHeight="1">
      <c r="A25" s="3" t="inlineStr"/>
      <c r="B25" s="3" t="inlineStr">
        <is>
          <t>Quick links and notes for recurring event-logistics needs (registration platform, AV/IT support, signage, badge printing).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6" customWidth="1" min="4" max="4"/>
    <col width="22" customWidth="1" min="5" max="5"/>
    <col width="16" customWidth="1" min="6" max="6"/>
    <col width="12" customWidth="1" min="7" max="7"/>
    <col width="12" customWidth="1" min="8" max="8"/>
  </cols>
  <sheetData>
    <row r="1" ht="26" customHeight="1">
      <c r="A1" s="1" t="inlineStr">
        <is>
          <t>D.fend Fin Crime Forum – Event Workback Dashboard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5" t="inlineStr">
        <is>
          <t>Forum Date:</t>
        </is>
      </c>
      <c r="B3" s="6" t="inlineStr">
        <is>
          <t>2026-11-13</t>
        </is>
      </c>
    </row>
    <row r="4">
      <c r="A4" s="5" t="inlineStr">
        <is>
          <t>Days to Forum:</t>
        </is>
      </c>
      <c r="B4" s="7">
        <f>B3-TODAY()</f>
        <v/>
      </c>
    </row>
    <row r="6">
      <c r="A6" s="8" t="inlineStr">
        <is>
          <t>Total Activities</t>
        </is>
      </c>
      <c r="C6" s="8" t="inlineStr">
        <is>
          <t>Completed Activities</t>
        </is>
      </c>
      <c r="E6" s="8" t="inlineStr">
        <is>
          <t>Outstanding Activities</t>
        </is>
      </c>
    </row>
    <row r="7">
      <c r="A7" s="9">
        <f>COUNTA(Activities!C3:C200)</f>
        <v/>
      </c>
      <c r="C7" s="9">
        <f>COUNTIF(Activities!K3:K200,"Complete")</f>
        <v/>
      </c>
      <c r="E7" s="9">
        <f>A7-C7</f>
        <v/>
      </c>
    </row>
    <row r="9">
      <c r="A9" s="10" t="inlineStr">
        <is>
          <t>Workstream Summary</t>
        </is>
      </c>
    </row>
    <row r="10">
      <c r="A10" s="11" t="inlineStr">
        <is>
          <t>Workstream</t>
        </is>
      </c>
      <c r="B10" s="12" t="inlineStr">
        <is>
          <t>Total Activities</t>
        </is>
      </c>
      <c r="C10" s="12" t="inlineStr">
        <is>
          <t>Completed</t>
        </is>
      </c>
      <c r="D10" s="12" t="inlineStr">
        <is>
          <t>Outstanding</t>
        </is>
      </c>
    </row>
    <row r="11">
      <c r="A11" s="13" t="inlineStr">
        <is>
          <t>Survey Fielding &amp; Insights</t>
        </is>
      </c>
      <c r="B11" s="14">
        <f>COUNTIF(Activities!$B$3:$B$200,A11)</f>
        <v/>
      </c>
      <c r="C11" s="14">
        <f>COUNTIFS(Activities!$B$3:$B$200,A11,Activities!$K$3:$K$200,"Complete")</f>
        <v/>
      </c>
      <c r="D11" s="14">
        <f>B11-C11</f>
        <v/>
      </c>
    </row>
    <row r="12">
      <c r="A12" s="13" t="inlineStr">
        <is>
          <t>Agenda and Topic Finalization</t>
        </is>
      </c>
      <c r="B12" s="14">
        <f>COUNTIF(Activities!$B$3:$B$200,A12)</f>
        <v/>
      </c>
      <c r="C12" s="14">
        <f>COUNTIFS(Activities!$B$3:$B$200,A12,Activities!$K$3:$K$200,"Complete")</f>
        <v/>
      </c>
      <c r="D12" s="14">
        <f>B12-C12</f>
        <v/>
      </c>
    </row>
    <row r="13">
      <c r="A13" s="13" t="inlineStr">
        <is>
          <t>Venue and Catering Finalization</t>
        </is>
      </c>
      <c r="B13" s="14">
        <f>COUNTIF(Activities!$B$3:$B$200,A13)</f>
        <v/>
      </c>
      <c r="C13" s="14">
        <f>COUNTIFS(Activities!$B$3:$B$200,A13,Activities!$K$3:$K$200,"Complete")</f>
        <v/>
      </c>
      <c r="D13" s="14">
        <f>B13-C13</f>
        <v/>
      </c>
    </row>
    <row r="14">
      <c r="A14" s="13" t="inlineStr">
        <is>
          <t>Invitation &amp; Registration Materials</t>
        </is>
      </c>
      <c r="B14" s="14">
        <f>COUNTIF(Activities!$B$3:$B$200,A14)</f>
        <v/>
      </c>
      <c r="C14" s="14">
        <f>COUNTIFS(Activities!$B$3:$B$200,A14,Activities!$K$3:$K$200,"Complete")</f>
        <v/>
      </c>
      <c r="D14" s="14">
        <f>B14-C14</f>
        <v/>
      </c>
    </row>
    <row r="15">
      <c r="A15" s="13" t="inlineStr">
        <is>
          <t>Findings Deck &amp; Presentation Materials</t>
        </is>
      </c>
      <c r="B15" s="14">
        <f>COUNTIF(Activities!$B$3:$B$200,A15)</f>
        <v/>
      </c>
      <c r="C15" s="14">
        <f>COUNTIFS(Activities!$B$3:$B$200,A15,Activities!$K$3:$K$200,"Complete")</f>
        <v/>
      </c>
      <c r="D15" s="14">
        <f>B15-C15</f>
        <v/>
      </c>
    </row>
    <row r="16">
      <c r="A16" s="13" t="inlineStr">
        <is>
          <t>Pre-Event Planning</t>
        </is>
      </c>
      <c r="B16" s="14">
        <f>COUNTIF(Activities!$B$3:$B$200,A16)</f>
        <v/>
      </c>
      <c r="C16" s="14">
        <f>COUNTIFS(Activities!$B$3:$B$200,A16,Activities!$K$3:$K$200,"Complete")</f>
        <v/>
      </c>
      <c r="D16" s="14">
        <f>B16-C16</f>
        <v/>
      </c>
    </row>
    <row r="17">
      <c r="A17" s="13" t="inlineStr">
        <is>
          <t>Outreach and Registration</t>
        </is>
      </c>
      <c r="B17" s="14">
        <f>COUNTIF(Activities!$B$3:$B$200,A17)</f>
        <v/>
      </c>
      <c r="C17" s="14">
        <f>COUNTIFS(Activities!$B$3:$B$200,A17,Activities!$K$3:$K$200,"Complete")</f>
        <v/>
      </c>
      <c r="D17" s="14">
        <f>B17-C17</f>
        <v/>
      </c>
    </row>
    <row r="18">
      <c r="A18" s="13" t="inlineStr">
        <is>
          <t>Signage &amp; Event Logistics</t>
        </is>
      </c>
      <c r="B18" s="14">
        <f>COUNTIF(Activities!$B$3:$B$200,A18)</f>
        <v/>
      </c>
      <c r="C18" s="14">
        <f>COUNTIFS(Activities!$B$3:$B$200,A18,Activities!$K$3:$K$200,"Complete")</f>
        <v/>
      </c>
      <c r="D18" s="14">
        <f>B18-C18</f>
        <v/>
      </c>
    </row>
    <row r="19">
      <c r="A19" s="13" t="inlineStr">
        <is>
          <t>Event Execution Logistics</t>
        </is>
      </c>
      <c r="B19" s="14">
        <f>COUNTIF(Activities!$B$3:$B$200,A19)</f>
        <v/>
      </c>
      <c r="C19" s="14">
        <f>COUNTIFS(Activities!$B$3:$B$200,A19,Activities!$K$3:$K$200,"Complete")</f>
        <v/>
      </c>
      <c r="D19" s="14">
        <f>B19-C19</f>
        <v/>
      </c>
    </row>
    <row r="20">
      <c r="A20" s="13" t="inlineStr">
        <is>
          <t>Day-of Roles</t>
        </is>
      </c>
      <c r="B20" s="14">
        <f>COUNTIF(Activities!$B$3:$B$200,A20)</f>
        <v/>
      </c>
      <c r="C20" s="14">
        <f>COUNTIFS(Activities!$B$3:$B$200,A20,Activities!$K$3:$K$200,"Complete")</f>
        <v/>
      </c>
      <c r="D20" s="14">
        <f>B20-C20</f>
        <v/>
      </c>
    </row>
    <row r="21">
      <c r="A21" s="13" t="inlineStr">
        <is>
          <t>Day-of Event Execution</t>
        </is>
      </c>
      <c r="B21" s="14">
        <f>COUNTIF(Activities!$B$3:$B$200,A21)</f>
        <v/>
      </c>
      <c r="C21" s="14">
        <f>COUNTIFS(Activities!$B$3:$B$200,A21,Activities!$K$3:$K$200,"Complete")</f>
        <v/>
      </c>
      <c r="D21" s="14">
        <f>B21-C21</f>
        <v/>
      </c>
    </row>
    <row r="22">
      <c r="A22" s="13" t="inlineStr">
        <is>
          <t>Post-Event Follow-Up</t>
        </is>
      </c>
      <c r="B22" s="14">
        <f>COUNTIF(Activities!$B$3:$B$200,A22)</f>
        <v/>
      </c>
      <c r="C22" s="14">
        <f>COUNTIFS(Activities!$B$3:$B$200,A22,Activities!$K$3:$K$200,"Complete")</f>
        <v/>
      </c>
      <c r="D22" s="14">
        <f>B22-C22</f>
        <v/>
      </c>
    </row>
    <row r="25">
      <c r="A25" s="10" t="inlineStr">
        <is>
          <t>Outstanding Tasks by Owner</t>
        </is>
      </c>
    </row>
    <row r="26">
      <c r="A26" s="11" t="inlineStr">
        <is>
          <t>Owner</t>
        </is>
      </c>
      <c r="B26" s="12" t="inlineStr">
        <is>
          <t>Total Activities</t>
        </is>
      </c>
      <c r="C26" s="12" t="inlineStr">
        <is>
          <t>Completed</t>
        </is>
      </c>
      <c r="D26" s="12" t="inlineStr">
        <is>
          <t>Outstanding</t>
        </is>
      </c>
    </row>
    <row r="27">
      <c r="A27" s="15" t="inlineStr">
        <is>
          <t>Project Lead</t>
        </is>
      </c>
      <c r="B27" s="14">
        <f>COUNTIF(Activities!$J$3:$J$200,A27)</f>
        <v/>
      </c>
      <c r="C27" s="14">
        <f>COUNTIFS(Activities!$J$3:$J$200,A27,Activities!$K$3:$K$200,"Complete")</f>
        <v/>
      </c>
      <c r="D27" s="14">
        <f>B27-C27</f>
        <v/>
      </c>
    </row>
    <row r="28">
      <c r="A28" s="15" t="inlineStr">
        <is>
          <t>Research Lead</t>
        </is>
      </c>
      <c r="B28" s="14">
        <f>COUNTIF(Activities!$J$3:$J$200,A28)</f>
        <v/>
      </c>
      <c r="C28" s="14">
        <f>COUNTIFS(Activities!$J$3:$J$200,A28,Activities!$K$3:$K$200,"Complete")</f>
        <v/>
      </c>
      <c r="D28" s="14">
        <f>B28-C28</f>
        <v/>
      </c>
    </row>
    <row r="29">
      <c r="A29" s="15" t="inlineStr">
        <is>
          <t>Deck Lead</t>
        </is>
      </c>
      <c r="B29" s="14">
        <f>COUNTIF(Activities!$J$3:$J$200,A29)</f>
        <v/>
      </c>
      <c r="C29" s="14">
        <f>COUNTIFS(Activities!$J$3:$J$200,A29,Activities!$K$3:$K$200,"Complete")</f>
        <v/>
      </c>
      <c r="D29" s="14">
        <f>B29-C29</f>
        <v/>
      </c>
    </row>
    <row r="30">
      <c r="A30" s="15" t="inlineStr">
        <is>
          <t>Event Logistics Lead</t>
        </is>
      </c>
      <c r="B30" s="14">
        <f>COUNTIF(Activities!$J$3:$J$200,A30)</f>
        <v/>
      </c>
      <c r="C30" s="14">
        <f>COUNTIFS(Activities!$J$3:$J$200,A30,Activities!$K$3:$K$200,"Complete")</f>
        <v/>
      </c>
      <c r="D30" s="14">
        <f>B30-C30</f>
        <v/>
      </c>
    </row>
    <row r="31">
      <c r="A31" s="15" t="inlineStr">
        <is>
          <t>Registration &amp; Marketing Lead</t>
        </is>
      </c>
      <c r="B31" s="14">
        <f>COUNTIF(Activities!$J$3:$J$200,A31)</f>
        <v/>
      </c>
      <c r="C31" s="14">
        <f>COUNTIFS(Activities!$J$3:$J$200,A31,Activities!$K$3:$K$200,"Complete")</f>
        <v/>
      </c>
      <c r="D31" s="14">
        <f>B31-C31</f>
        <v/>
      </c>
    </row>
    <row r="32">
      <c r="A32" s="15" t="inlineStr">
        <is>
          <t>Moderator / Presenter</t>
        </is>
      </c>
      <c r="B32" s="14">
        <f>COUNTIF(Activities!$J$3:$J$200,A32)</f>
        <v/>
      </c>
      <c r="C32" s="14">
        <f>COUNTIFS(Activities!$J$3:$J$200,A32,Activities!$K$3:$K$200,"Complete")</f>
        <v/>
      </c>
      <c r="D32" s="14">
        <f>B32-C32</f>
        <v/>
      </c>
    </row>
  </sheetData>
  <mergeCells count="7">
    <mergeCell ref="E6:F6"/>
    <mergeCell ref="C6:D6"/>
    <mergeCell ref="C7:D7"/>
    <mergeCell ref="A7:B7"/>
    <mergeCell ref="E7:F7"/>
    <mergeCell ref="A1:H1"/>
    <mergeCell ref="A6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</cols>
  <sheetData>
    <row r="1" ht="26" customHeight="1">
      <c r="A1" s="1" t="inlineStr">
        <is>
          <t>D.fend Fin Crime Forum – 10-Week Gantt (illustrative – confirm against Forum date)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0" customHeight="1">
      <c r="A2" s="11" t="inlineStr">
        <is>
          <t>Workstream</t>
        </is>
      </c>
      <c r="B2" s="12" t="inlineStr">
        <is>
          <t>Wk 1
Aug 31</t>
        </is>
      </c>
      <c r="C2" s="12" t="inlineStr">
        <is>
          <t>Wk 2
Sep 07</t>
        </is>
      </c>
      <c r="D2" s="12" t="inlineStr">
        <is>
          <t>Wk 3
Sep 14</t>
        </is>
      </c>
      <c r="E2" s="12" t="inlineStr">
        <is>
          <t>Wk 4
Sep 21</t>
        </is>
      </c>
      <c r="F2" s="12" t="inlineStr">
        <is>
          <t>Wk 5
Sep 28</t>
        </is>
      </c>
      <c r="G2" s="12" t="inlineStr">
        <is>
          <t>Wk 6
Oct 05</t>
        </is>
      </c>
      <c r="H2" s="12" t="inlineStr">
        <is>
          <t>Wk 7
Oct 12</t>
        </is>
      </c>
      <c r="I2" s="12" t="inlineStr">
        <is>
          <t>Wk 8
Oct 19</t>
        </is>
      </c>
      <c r="J2" s="12" t="inlineStr">
        <is>
          <t>Wk 9
Oct 26</t>
        </is>
      </c>
      <c r="K2" s="12" t="inlineStr">
        <is>
          <t>Wk 10
Nov 02</t>
        </is>
      </c>
      <c r="L2" s="12" t="inlineStr">
        <is>
          <t>Wk 11
Nov 09</t>
        </is>
      </c>
    </row>
    <row r="3" ht="20" customHeight="1">
      <c r="A3" s="16" t="inlineStr">
        <is>
          <t>Survey Fielding &amp; Insights</t>
        </is>
      </c>
      <c r="B3" s="17" t="inlineStr"/>
      <c r="C3" s="17" t="inlineStr"/>
      <c r="D3" s="17" t="inlineStr"/>
      <c r="E3" s="17" t="inlineStr"/>
      <c r="F3" s="18" t="inlineStr"/>
      <c r="G3" s="18" t="inlineStr"/>
      <c r="H3" s="18" t="inlineStr"/>
      <c r="I3" s="18" t="inlineStr"/>
      <c r="J3" s="18" t="inlineStr"/>
      <c r="K3" s="18" t="inlineStr"/>
      <c r="L3" s="18" t="inlineStr"/>
    </row>
    <row r="4" ht="20" customHeight="1">
      <c r="A4" s="16" t="inlineStr">
        <is>
          <t>Agenda and Topic Finalization</t>
        </is>
      </c>
      <c r="B4" s="18" t="inlineStr"/>
      <c r="C4" s="18" t="inlineStr"/>
      <c r="D4" s="18" t="inlineStr"/>
      <c r="E4" s="17" t="inlineStr"/>
      <c r="F4" s="17" t="inlineStr"/>
      <c r="G4" s="18" t="inlineStr"/>
      <c r="H4" s="18" t="inlineStr"/>
      <c r="I4" s="18" t="inlineStr"/>
      <c r="J4" s="18" t="inlineStr"/>
      <c r="K4" s="18" t="inlineStr"/>
      <c r="L4" s="18" t="inlineStr"/>
    </row>
    <row r="5" ht="20" customHeight="1">
      <c r="A5" s="16" t="inlineStr">
        <is>
          <t>Venue and Catering Finalization</t>
        </is>
      </c>
      <c r="B5" s="17" t="inlineStr"/>
      <c r="C5" s="17" t="inlineStr"/>
      <c r="D5" s="17" t="inlineStr"/>
      <c r="E5" s="18" t="inlineStr"/>
      <c r="F5" s="18" t="inlineStr"/>
      <c r="G5" s="18" t="inlineStr"/>
      <c r="H5" s="18" t="inlineStr"/>
      <c r="I5" s="18" t="inlineStr"/>
      <c r="J5" s="18" t="inlineStr"/>
      <c r="K5" s="18" t="inlineStr"/>
      <c r="L5" s="18" t="inlineStr"/>
    </row>
    <row r="6" ht="20" customHeight="1">
      <c r="A6" s="16" t="inlineStr">
        <is>
          <t>Invitation &amp; Registration Materials</t>
        </is>
      </c>
      <c r="B6" s="18" t="inlineStr"/>
      <c r="C6" s="18" t="inlineStr"/>
      <c r="D6" s="17" t="inlineStr"/>
      <c r="E6" s="17" t="inlineStr"/>
      <c r="F6" s="17" t="inlineStr"/>
      <c r="G6" s="18" t="inlineStr"/>
      <c r="H6" s="18" t="inlineStr"/>
      <c r="I6" s="18" t="inlineStr"/>
      <c r="J6" s="18" t="inlineStr"/>
      <c r="K6" s="18" t="inlineStr"/>
      <c r="L6" s="18" t="inlineStr"/>
    </row>
    <row r="7" ht="20" customHeight="1">
      <c r="A7" s="16" t="inlineStr">
        <is>
          <t>Findings Deck &amp; Presentation Materials</t>
        </is>
      </c>
      <c r="B7" s="18" t="inlineStr"/>
      <c r="C7" s="18" t="inlineStr"/>
      <c r="D7" s="18" t="inlineStr"/>
      <c r="E7" s="17" t="inlineStr"/>
      <c r="F7" s="17" t="inlineStr"/>
      <c r="G7" s="17" t="inlineStr"/>
      <c r="H7" s="18" t="inlineStr"/>
      <c r="I7" s="18" t="inlineStr"/>
      <c r="J7" s="18" t="inlineStr"/>
      <c r="K7" s="18" t="inlineStr"/>
      <c r="L7" s="18" t="inlineStr"/>
    </row>
    <row r="8" ht="20" customHeight="1">
      <c r="A8" s="16" t="inlineStr">
        <is>
          <t>Pre-Event Planning</t>
        </is>
      </c>
      <c r="B8" s="17" t="inlineStr"/>
      <c r="C8" s="17" t="inlineStr"/>
      <c r="D8" s="18" t="inlineStr"/>
      <c r="E8" s="18" t="inlineStr"/>
      <c r="F8" s="18" t="inlineStr"/>
      <c r="G8" s="18" t="inlineStr"/>
      <c r="H8" s="18" t="inlineStr"/>
      <c r="I8" s="18" t="inlineStr"/>
      <c r="J8" s="18" t="inlineStr"/>
      <c r="K8" s="18" t="inlineStr"/>
      <c r="L8" s="18" t="inlineStr"/>
    </row>
    <row r="9" ht="20" customHeight="1">
      <c r="A9" s="16" t="inlineStr">
        <is>
          <t>Outreach and Registration</t>
        </is>
      </c>
      <c r="B9" s="18" t="inlineStr"/>
      <c r="C9" s="18" t="inlineStr"/>
      <c r="D9" s="18" t="inlineStr"/>
      <c r="E9" s="17" t="inlineStr"/>
      <c r="F9" s="17" t="inlineStr"/>
      <c r="G9" s="17" t="inlineStr"/>
      <c r="H9" s="17" t="inlineStr"/>
      <c r="I9" s="17" t="inlineStr"/>
      <c r="J9" s="18" t="inlineStr"/>
      <c r="K9" s="18" t="inlineStr"/>
      <c r="L9" s="18" t="inlineStr"/>
    </row>
    <row r="10" ht="20" customHeight="1">
      <c r="A10" s="16" t="inlineStr">
        <is>
          <t>Signage &amp; Event Logistics</t>
        </is>
      </c>
      <c r="B10" s="18" t="inlineStr"/>
      <c r="C10" s="18" t="inlineStr"/>
      <c r="D10" s="18" t="inlineStr"/>
      <c r="E10" s="18" t="inlineStr"/>
      <c r="F10" s="18" t="inlineStr"/>
      <c r="G10" s="18" t="inlineStr"/>
      <c r="H10" s="17" t="inlineStr"/>
      <c r="I10" s="17" t="inlineStr"/>
      <c r="J10" s="17" t="inlineStr"/>
      <c r="K10" s="18" t="inlineStr"/>
      <c r="L10" s="18" t="inlineStr"/>
    </row>
    <row r="11" ht="20" customHeight="1">
      <c r="A11" s="16" t="inlineStr">
        <is>
          <t>Event Execution Logistics</t>
        </is>
      </c>
      <c r="B11" s="18" t="inlineStr"/>
      <c r="C11" s="18" t="inlineStr"/>
      <c r="D11" s="18" t="inlineStr"/>
      <c r="E11" s="18" t="inlineStr"/>
      <c r="F11" s="18" t="inlineStr"/>
      <c r="G11" s="18" t="inlineStr"/>
      <c r="H11" s="18" t="inlineStr"/>
      <c r="I11" s="18" t="inlineStr"/>
      <c r="J11" s="17" t="inlineStr"/>
      <c r="K11" s="17" t="inlineStr"/>
      <c r="L11" s="18" t="inlineStr"/>
    </row>
    <row r="12" ht="20" customHeight="1">
      <c r="A12" s="16" t="inlineStr">
        <is>
          <t>Day-of Roles</t>
        </is>
      </c>
      <c r="B12" s="18" t="inlineStr"/>
      <c r="C12" s="18" t="inlineStr"/>
      <c r="D12" s="18" t="inlineStr"/>
      <c r="E12" s="18" t="inlineStr"/>
      <c r="F12" s="18" t="inlineStr"/>
      <c r="G12" s="18" t="inlineStr"/>
      <c r="H12" s="18" t="inlineStr"/>
      <c r="I12" s="18" t="inlineStr"/>
      <c r="J12" s="18" t="inlineStr"/>
      <c r="K12" s="17" t="inlineStr"/>
      <c r="L12" s="18" t="inlineStr"/>
    </row>
    <row r="13" ht="20" customHeight="1">
      <c r="A13" s="16" t="inlineStr">
        <is>
          <t>Day-of Event Execution</t>
        </is>
      </c>
      <c r="B13" s="18" t="inlineStr"/>
      <c r="C13" s="18" t="inlineStr"/>
      <c r="D13" s="18" t="inlineStr"/>
      <c r="E13" s="18" t="inlineStr"/>
      <c r="F13" s="18" t="inlineStr"/>
      <c r="G13" s="18" t="inlineStr"/>
      <c r="H13" s="18" t="inlineStr"/>
      <c r="I13" s="18" t="inlineStr"/>
      <c r="J13" s="18" t="inlineStr"/>
      <c r="K13" s="17" t="inlineStr"/>
      <c r="L13" s="18" t="inlineStr"/>
    </row>
    <row r="14" ht="20" customHeight="1">
      <c r="A14" s="16" t="inlineStr">
        <is>
          <t>Post-Event Follow-Up</t>
        </is>
      </c>
      <c r="B14" s="18" t="inlineStr"/>
      <c r="C14" s="18" t="inlineStr"/>
      <c r="D14" s="18" t="inlineStr"/>
      <c r="E14" s="18" t="inlineStr"/>
      <c r="F14" s="18" t="inlineStr"/>
      <c r="G14" s="18" t="inlineStr"/>
      <c r="H14" s="18" t="inlineStr"/>
      <c r="I14" s="18" t="inlineStr"/>
      <c r="J14" s="18" t="inlineStr"/>
      <c r="K14" s="17" t="inlineStr"/>
      <c r="L14" s="17" t="inlineStr"/>
    </row>
    <row r="16">
      <c r="A16" s="19" t="inlineStr">
        <is>
          <t>D.fend Forum</t>
        </is>
      </c>
      <c r="L16" s="20" t="inlineStr">
        <is>
          <t>◆</t>
        </is>
      </c>
    </row>
    <row r="18">
      <c r="A18" s="21" t="inlineStr">
        <is>
          <t>Weeks are illustrative starting from an assumed kickoff of Aug 31, 2026 — shift all bars once the Forum date and survey launch date are confirmed.</t>
        </is>
      </c>
    </row>
  </sheetData>
  <mergeCells count="2">
    <mergeCell ref="A18:H18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46" customWidth="1" min="3" max="3"/>
    <col width="46" customWidth="1" min="4" max="4"/>
    <col width="30" customWidth="1" min="5" max="5"/>
    <col width="14" customWidth="1" min="6" max="6"/>
    <col width="14" customWidth="1" min="7" max="7"/>
    <col width="10" customWidth="1" min="8" max="8"/>
    <col width="16" customWidth="1" min="9" max="9"/>
    <col width="22" customWidth="1" min="10" max="10"/>
    <col width="20" customWidth="1" min="11" max="11"/>
    <col width="26" customWidth="1" min="12" max="12"/>
  </cols>
  <sheetData>
    <row r="1" ht="26" customHeight="1">
      <c r="A1" s="1" t="inlineStr">
        <is>
          <t>D.fend – Fin Crime Forum: Event Workback Plan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4" customHeight="1">
      <c r="A2" s="12" t="inlineStr">
        <is>
          <t>Action</t>
        </is>
      </c>
      <c r="B2" s="12" t="inlineStr">
        <is>
          <t>Workstream</t>
        </is>
      </c>
      <c r="C2" s="12" t="inlineStr">
        <is>
          <t>Activity (START WITH VERB)</t>
        </is>
      </c>
      <c r="D2" s="12" t="inlineStr">
        <is>
          <t>What "Done" Looks Like</t>
        </is>
      </c>
      <c r="E2" s="12" t="inlineStr">
        <is>
          <t>Dependencies</t>
        </is>
      </c>
      <c r="F2" s="12" t="inlineStr">
        <is>
          <t>Start Date
(yyyy-mm-dd)</t>
        </is>
      </c>
      <c r="G2" s="12" t="inlineStr">
        <is>
          <t>End Date
(yyyy-mm-dd)</t>
        </is>
      </c>
      <c r="H2" s="12" t="inlineStr">
        <is>
          <t>Duration</t>
        </is>
      </c>
      <c r="I2" s="12" t="inlineStr">
        <is>
          <t>Actual End Date
(yyyy-mm-dd)</t>
        </is>
      </c>
      <c r="J2" s="12" t="inlineStr">
        <is>
          <t>Ownership</t>
        </is>
      </c>
      <c r="K2" s="12" t="inlineStr">
        <is>
          <t>Status (Complete/In progress)</t>
        </is>
      </c>
      <c r="L2" s="12" t="inlineStr">
        <is>
          <t>Notes</t>
        </is>
      </c>
    </row>
    <row r="3" ht="30" customHeight="1">
      <c r="A3" s="22" t="n">
        <v>1</v>
      </c>
      <c r="B3" s="23" t="inlineStr">
        <is>
          <t>Survey Fielding &amp; Insights</t>
        </is>
      </c>
      <c r="C3" s="24" t="inlineStr">
        <is>
          <t>Finalize survey instrument and GLG screener logic</t>
        </is>
      </c>
      <c r="D3" s="24" t="inlineStr">
        <is>
          <t>Approved questionnaire ready for fielding</t>
        </is>
      </c>
      <c r="E3" s="24" t="inlineStr">
        <is>
          <t>None</t>
        </is>
      </c>
      <c r="F3" s="25" t="inlineStr">
        <is>
          <t>2026-08-24</t>
        </is>
      </c>
      <c r="G3" s="25" t="inlineStr">
        <is>
          <t>2026-08-28</t>
        </is>
      </c>
      <c r="H3" s="25">
        <f>IF(AND(F3&lt;&gt;"",G3&lt;&gt;""),G3-F3+1,"")</f>
        <v/>
      </c>
      <c r="I3" s="25" t="inlineStr">
        <is>
          <t>2026-08-28</t>
        </is>
      </c>
      <c r="J3" s="25" t="inlineStr">
        <is>
          <t>Research Lead</t>
        </is>
      </c>
      <c r="K3" s="25" t="inlineStr">
        <is>
          <t>Complete</t>
        </is>
      </c>
      <c r="L3" s="25" t="n"/>
    </row>
    <row r="4" ht="30" customHeight="1">
      <c r="A4" s="22" t="n">
        <v>2</v>
      </c>
      <c r="B4" s="23" t="inlineStr">
        <is>
          <t>Survey Fielding &amp; Insights</t>
        </is>
      </c>
      <c r="C4" s="24" t="inlineStr">
        <is>
          <t>Launch survey fielding via GLG</t>
        </is>
      </c>
      <c r="D4" s="24" t="inlineStr">
        <is>
          <t>Live survey link distributed to GLG panel</t>
        </is>
      </c>
      <c r="E4" s="24" t="inlineStr">
        <is>
          <t>#1</t>
        </is>
      </c>
      <c r="F4" s="25" t="n"/>
      <c r="G4" s="25" t="n"/>
      <c r="H4" s="25">
        <f>IF(AND(F4&lt;&gt;"",G4&lt;&gt;""),G4-F4+1,"")</f>
        <v/>
      </c>
      <c r="I4" s="25" t="n"/>
      <c r="J4" s="25" t="n"/>
      <c r="K4" s="25" t="n"/>
      <c r="L4" s="25" t="n"/>
    </row>
    <row r="5" ht="30" customHeight="1">
      <c r="A5" s="22" t="n">
        <v>3</v>
      </c>
      <c r="B5" s="23" t="inlineStr">
        <is>
          <t>Survey Fielding &amp; Insights</t>
        </is>
      </c>
      <c r="C5" s="24" t="inlineStr">
        <is>
          <t>Monitor fielding progress and quota fill (Week 1)</t>
        </is>
      </c>
      <c r="D5" s="24" t="inlineStr">
        <is>
          <t>Daily response/quota tracking in place</t>
        </is>
      </c>
      <c r="E5" s="24" t="inlineStr">
        <is>
          <t>#2</t>
        </is>
      </c>
      <c r="F5" s="25" t="n"/>
      <c r="G5" s="25" t="n"/>
      <c r="H5" s="25">
        <f>IF(AND(F5&lt;&gt;"",G5&lt;&gt;""),G5-F5+1,"")</f>
        <v/>
      </c>
      <c r="I5" s="25" t="n"/>
      <c r="J5" s="25" t="n"/>
      <c r="K5" s="25" t="n"/>
      <c r="L5" s="25" t="n"/>
    </row>
    <row r="6" ht="30" customHeight="1">
      <c r="A6" s="22" t="n">
        <v>4</v>
      </c>
      <c r="B6" s="23" t="inlineStr">
        <is>
          <t>Survey Fielding &amp; Insights</t>
        </is>
      </c>
      <c r="C6" s="24" t="inlineStr">
        <is>
          <t>Mid-field quota check and rebalancing (Week 2)</t>
        </is>
      </c>
      <c r="D6" s="24" t="inlineStr">
        <is>
          <t>Quota gaps identified and outreach adjusted</t>
        </is>
      </c>
      <c r="E6" s="24" t="inlineStr">
        <is>
          <t>#3</t>
        </is>
      </c>
      <c r="F6" s="25" t="n"/>
      <c r="G6" s="25" t="n"/>
      <c r="H6" s="25">
        <f>IF(AND(F6&lt;&gt;"",G6&lt;&gt;""),G6-F6+1,"")</f>
        <v/>
      </c>
      <c r="I6" s="25" t="n"/>
      <c r="J6" s="25" t="n"/>
      <c r="K6" s="25" t="n"/>
      <c r="L6" s="25" t="n"/>
    </row>
    <row r="7" ht="30" customHeight="1">
      <c r="A7" s="22" t="n">
        <v>5</v>
      </c>
      <c r="B7" s="23" t="inlineStr">
        <is>
          <t>Survey Fielding &amp; Insights</t>
        </is>
      </c>
      <c r="C7" s="24" t="inlineStr">
        <is>
          <t>Final quota push and close fielding (Week 3)</t>
        </is>
      </c>
      <c r="D7" s="24" t="inlineStr">
        <is>
          <t>Fielding closed with quotas met</t>
        </is>
      </c>
      <c r="E7" s="24" t="inlineStr">
        <is>
          <t>#4</t>
        </is>
      </c>
      <c r="F7" s="25" t="n"/>
      <c r="G7" s="25" t="n"/>
      <c r="H7" s="25">
        <f>IF(AND(F7&lt;&gt;"",G7&lt;&gt;""),G7-F7+1,"")</f>
        <v/>
      </c>
      <c r="I7" s="25" t="n"/>
      <c r="J7" s="25" t="n"/>
      <c r="K7" s="25" t="n"/>
      <c r="L7" s="25" t="n"/>
    </row>
    <row r="8" ht="30" customHeight="1">
      <c r="A8" s="22" t="n">
        <v>6</v>
      </c>
      <c r="B8" s="23" t="inlineStr">
        <is>
          <t>Survey Fielding &amp; Insights</t>
        </is>
      </c>
      <c r="C8" s="26" t="inlineStr">
        <is>
          <t>Milestone 1 – Survey Fielding Closed</t>
        </is>
      </c>
      <c r="D8" s="26" t="inlineStr">
        <is>
          <t>Closed, validated dataset ready for tabulation</t>
        </is>
      </c>
      <c r="E8" s="26" t="inlineStr"/>
      <c r="F8" s="27" t="n"/>
      <c r="G8" s="27" t="n"/>
      <c r="H8" s="27">
        <f>IF(AND(F8&lt;&gt;"",G8&lt;&gt;""),G8-F8+1,"")</f>
        <v/>
      </c>
      <c r="I8" s="27" t="n"/>
      <c r="J8" s="27" t="n"/>
      <c r="K8" s="27" t="n"/>
      <c r="L8" s="27" t="n"/>
    </row>
    <row r="9" ht="30" customHeight="1">
      <c r="A9" s="22" t="n">
        <v>7</v>
      </c>
      <c r="B9" s="23" t="inlineStr">
        <is>
          <t>Survey Fielding &amp; Insights</t>
        </is>
      </c>
      <c r="C9" s="24" t="inlineStr">
        <is>
          <t>Tabulate results and build cross-tabs</t>
        </is>
      </c>
      <c r="D9" s="24" t="inlineStr">
        <is>
          <t>Cross-tabbed results by segment (banking/insurance, region)</t>
        </is>
      </c>
      <c r="E9" s="24" t="inlineStr">
        <is>
          <t>#6</t>
        </is>
      </c>
      <c r="F9" s="25" t="n"/>
      <c r="G9" s="25" t="n"/>
      <c r="H9" s="25">
        <f>IF(AND(F9&lt;&gt;"",G9&lt;&gt;""),G9-F9+1,"")</f>
        <v/>
      </c>
      <c r="I9" s="25" t="n"/>
      <c r="J9" s="25" t="n"/>
      <c r="K9" s="25" t="n"/>
      <c r="L9" s="25" t="n"/>
    </row>
    <row r="10" ht="30" customHeight="1">
      <c r="A10" s="22" t="n">
        <v>8</v>
      </c>
      <c r="B10" s="23" t="inlineStr">
        <is>
          <t>Survey Fielding &amp; Insights</t>
        </is>
      </c>
      <c r="C10" s="24" t="inlineStr">
        <is>
          <t>Populate findings into the storyboard deck</t>
        </is>
      </c>
      <c r="D10" s="24" t="inlineStr">
        <is>
          <t>Draft findings deck complete</t>
        </is>
      </c>
      <c r="E10" s="24" t="inlineStr">
        <is>
          <t>#7</t>
        </is>
      </c>
      <c r="F10" s="25" t="n"/>
      <c r="G10" s="25" t="n"/>
      <c r="H10" s="25">
        <f>IF(AND(F10&lt;&gt;"",G10&lt;&gt;""),G10-F10+1,"")</f>
        <v/>
      </c>
      <c r="I10" s="25" t="n"/>
      <c r="J10" s="25" t="n"/>
      <c r="K10" s="25" t="n"/>
      <c r="L10" s="25" t="n"/>
    </row>
    <row r="11" ht="30" customHeight="1">
      <c r="A11" s="22" t="n">
        <v>9</v>
      </c>
      <c r="B11" s="23" t="inlineStr">
        <is>
          <t>Survey Fielding &amp; Insights</t>
        </is>
      </c>
      <c r="C11" s="26" t="inlineStr">
        <is>
          <t>Milestone 2 – Survey Findings &amp; Draft Deck Complete</t>
        </is>
      </c>
      <c r="D11" s="26" t="inlineStr">
        <is>
          <t>First full draft of findings deck ready for review</t>
        </is>
      </c>
      <c r="E11" s="26" t="inlineStr">
        <is>
          <t>#8</t>
        </is>
      </c>
      <c r="F11" s="27" t="n"/>
      <c r="G11" s="27" t="n"/>
      <c r="H11" s="27">
        <f>IF(AND(F11&lt;&gt;"",G11&lt;&gt;""),G11-F11+1,"")</f>
        <v/>
      </c>
      <c r="I11" s="27" t="n"/>
      <c r="J11" s="27" t="n"/>
      <c r="K11" s="27" t="n"/>
      <c r="L11" s="27" t="n"/>
    </row>
    <row r="12" ht="30" customHeight="1">
      <c r="A12" s="22" t="n">
        <v>10</v>
      </c>
      <c r="B12" s="23" t="inlineStr">
        <is>
          <t>Agenda and Topic Finalization</t>
        </is>
      </c>
      <c r="C12" s="24" t="inlineStr">
        <is>
          <t>Discuss anticipated attendees and seniority targets with leadership</t>
        </is>
      </c>
      <c r="D12" s="24" t="inlineStr">
        <is>
          <t>Defined attendee profile and attendance target</t>
        </is>
      </c>
      <c r="E12" s="24" t="inlineStr">
        <is>
          <t>None</t>
        </is>
      </c>
      <c r="F12" s="25" t="n"/>
      <c r="G12" s="25" t="n"/>
      <c r="H12" s="25">
        <f>IF(AND(F12&lt;&gt;"",G12&lt;&gt;""),G12-F12+1,"")</f>
        <v/>
      </c>
      <c r="I12" s="25" t="n"/>
      <c r="J12" s="25" t="n"/>
      <c r="K12" s="25" t="n"/>
      <c r="L12" s="25" t="n"/>
    </row>
    <row r="13" ht="30" customHeight="1">
      <c r="A13" s="22" t="n">
        <v>11</v>
      </c>
      <c r="B13" s="23" t="inlineStr">
        <is>
          <t>Agenda and Topic Finalization</t>
        </is>
      </c>
      <c r="C13" s="24" t="inlineStr">
        <is>
          <t>Draft Forum agenda informed by survey headline findings</t>
        </is>
      </c>
      <c r="D13" s="24" t="inlineStr">
        <is>
          <t>Draft agenda mapped to the 5 research themes</t>
        </is>
      </c>
      <c r="E13" s="24" t="inlineStr">
        <is>
          <t>#9</t>
        </is>
      </c>
      <c r="F13" s="25" t="n"/>
      <c r="G13" s="25" t="n"/>
      <c r="H13" s="25">
        <f>IF(AND(F13&lt;&gt;"",G13&lt;&gt;""),G13-F13+1,"")</f>
        <v/>
      </c>
      <c r="I13" s="25" t="n"/>
      <c r="J13" s="25" t="n"/>
      <c r="K13" s="25" t="n"/>
      <c r="L13" s="25" t="n"/>
    </row>
    <row r="14" ht="30" customHeight="1">
      <c r="A14" s="22" t="n">
        <v>12</v>
      </c>
      <c r="B14" s="23" t="inlineStr">
        <is>
          <t>Agenda and Topic Finalization</t>
        </is>
      </c>
      <c r="C14" s="24" t="inlineStr">
        <is>
          <t>Review agenda and session structure with leadership</t>
        </is>
      </c>
      <c r="D14" s="24" t="inlineStr">
        <is>
          <t>Incorporated leadership feedback into draft agenda</t>
        </is>
      </c>
      <c r="E14" s="24" t="inlineStr">
        <is>
          <t>#11</t>
        </is>
      </c>
      <c r="F14" s="25" t="n"/>
      <c r="G14" s="25" t="n"/>
      <c r="H14" s="25">
        <f>IF(AND(F14&lt;&gt;"",G14&lt;&gt;""),G14-F14+1,"")</f>
        <v/>
      </c>
      <c r="I14" s="25" t="n"/>
      <c r="J14" s="25" t="n"/>
      <c r="K14" s="25" t="n"/>
      <c r="L14" s="25" t="n"/>
    </row>
    <row r="15" ht="30" customHeight="1">
      <c r="A15" s="22" t="n">
        <v>13</v>
      </c>
      <c r="B15" s="23" t="inlineStr">
        <is>
          <t>Agenda and Topic Finalization</t>
        </is>
      </c>
      <c r="C15" s="24" t="inlineStr">
        <is>
          <t>Confirm keynote/panel/breakout topics and speakers</t>
        </is>
      </c>
      <c r="D15" s="24" t="inlineStr">
        <is>
          <t>Confirmed session owners and formats</t>
        </is>
      </c>
      <c r="E15" s="24" t="inlineStr">
        <is>
          <t>#12</t>
        </is>
      </c>
      <c r="F15" s="25" t="n"/>
      <c r="G15" s="25" t="n"/>
      <c r="H15" s="25">
        <f>IF(AND(F15&lt;&gt;"",G15&lt;&gt;""),G15-F15+1,"")</f>
        <v/>
      </c>
      <c r="I15" s="25" t="n"/>
      <c r="J15" s="25" t="n"/>
      <c r="K15" s="25" t="n"/>
      <c r="L15" s="25" t="n"/>
    </row>
    <row r="16" ht="30" customHeight="1">
      <c r="A16" s="22" t="n">
        <v>14</v>
      </c>
      <c r="B16" s="23" t="inlineStr">
        <is>
          <t>Agenda and Topic Finalization</t>
        </is>
      </c>
      <c r="C16" s="24" t="inlineStr">
        <is>
          <t>Obtain leadership approval of final agenda</t>
        </is>
      </c>
      <c r="D16" s="24" t="inlineStr">
        <is>
          <t>Finalized and approved agenda for distribution</t>
        </is>
      </c>
      <c r="E16" s="24" t="inlineStr">
        <is>
          <t>#13</t>
        </is>
      </c>
      <c r="F16" s="25" t="n"/>
      <c r="G16" s="25" t="n"/>
      <c r="H16" s="25">
        <f>IF(AND(F16&lt;&gt;"",G16&lt;&gt;""),G16-F16+1,"")</f>
        <v/>
      </c>
      <c r="I16" s="25" t="n"/>
      <c r="J16" s="25" t="n"/>
      <c r="K16" s="25" t="n"/>
      <c r="L16" s="25" t="n"/>
    </row>
    <row r="17" ht="30" customHeight="1">
      <c r="A17" s="22" t="n">
        <v>15</v>
      </c>
      <c r="B17" s="23" t="inlineStr">
        <is>
          <t>Agenda and Topic Finalization</t>
        </is>
      </c>
      <c r="C17" s="26" t="inlineStr">
        <is>
          <t>Milestone 3 – Agenda &amp; Attendee Targets Confirmed</t>
        </is>
      </c>
      <c r="D17" s="26" t="inlineStr">
        <is>
          <t>Confirmed attendee targets and approved agenda</t>
        </is>
      </c>
      <c r="E17" s="26" t="inlineStr">
        <is>
          <t>#14</t>
        </is>
      </c>
      <c r="F17" s="27" t="n"/>
      <c r="G17" s="27" t="n"/>
      <c r="H17" s="27">
        <f>IF(AND(F17&lt;&gt;"",G17&lt;&gt;""),G17-F17+1,"")</f>
        <v/>
      </c>
      <c r="I17" s="27" t="n"/>
      <c r="J17" s="27" t="n"/>
      <c r="K17" s="27" t="n"/>
      <c r="L17" s="27" t="n"/>
    </row>
    <row r="18" ht="30" customHeight="1">
      <c r="A18" s="22" t="n">
        <v>16</v>
      </c>
      <c r="B18" s="23" t="inlineStr">
        <is>
          <t>Venue and Catering Finalization</t>
        </is>
      </c>
      <c r="C18" s="24" t="inlineStr">
        <is>
          <t>Check venue availability (Deloitte office or external) for target date</t>
        </is>
      </c>
      <c r="D18" s="24" t="inlineStr">
        <is>
          <t>Identified venue options and confirmed availability</t>
        </is>
      </c>
      <c r="E18" s="24" t="inlineStr">
        <is>
          <t>None</t>
        </is>
      </c>
      <c r="F18" s="25" t="n"/>
      <c r="G18" s="25" t="n"/>
      <c r="H18" s="25">
        <f>IF(AND(F18&lt;&gt;"",G18&lt;&gt;""),G18-F18+1,"")</f>
        <v/>
      </c>
      <c r="I18" s="25" t="n"/>
      <c r="J18" s="25" t="n"/>
      <c r="K18" s="25" t="n"/>
      <c r="L18" s="25" t="n"/>
    </row>
    <row r="19" ht="30" customHeight="1">
      <c r="A19" s="22" t="n">
        <v>17</v>
      </c>
      <c r="B19" s="23" t="inlineStr">
        <is>
          <t>Venue and Catering Finalization</t>
        </is>
      </c>
      <c r="C19" s="24" t="inlineStr">
        <is>
          <t>Confirm date and venue with leadership</t>
        </is>
      </c>
      <c r="D19" s="24" t="inlineStr">
        <is>
          <t>Aligned with leadership on venue availability</t>
        </is>
      </c>
      <c r="E19" s="24" t="inlineStr">
        <is>
          <t>#16</t>
        </is>
      </c>
      <c r="F19" s="25" t="n"/>
      <c r="G19" s="25" t="n"/>
      <c r="H19" s="25">
        <f>IF(AND(F19&lt;&gt;"",G19&lt;&gt;""),G19-F19+1,"")</f>
        <v/>
      </c>
      <c r="I19" s="25" t="n"/>
      <c r="J19" s="25" t="n"/>
      <c r="K19" s="25" t="n"/>
      <c r="L19" s="25" t="n"/>
    </row>
    <row r="20" ht="30" customHeight="1">
      <c r="A20" s="22" t="n">
        <v>18</v>
      </c>
      <c r="B20" s="23" t="inlineStr">
        <is>
          <t>Venue and Catering Finalization</t>
        </is>
      </c>
      <c r="C20" s="24" t="inlineStr">
        <is>
          <t>Book event space and reserve registration area</t>
        </is>
      </c>
      <c r="D20" s="24" t="inlineStr">
        <is>
          <t>Secured venue booking and registration table reservation</t>
        </is>
      </c>
      <c r="E20" s="24" t="inlineStr">
        <is>
          <t>#17</t>
        </is>
      </c>
      <c r="F20" s="25" t="n"/>
      <c r="G20" s="25" t="n"/>
      <c r="H20" s="25">
        <f>IF(AND(F20&lt;&gt;"",G20&lt;&gt;""),G20-F20+1,"")</f>
        <v/>
      </c>
      <c r="I20" s="25" t="n"/>
      <c r="J20" s="25" t="n"/>
      <c r="K20" s="25" t="n"/>
      <c r="L20" s="25" t="n"/>
    </row>
    <row r="21" ht="30" customHeight="1">
      <c r="A21" s="22" t="n">
        <v>19</v>
      </c>
      <c r="B21" s="23" t="inlineStr">
        <is>
          <t>Venue and Catering Finalization</t>
        </is>
      </c>
      <c r="C21" s="24" t="inlineStr">
        <is>
          <t>Estimate food and beverage budget</t>
        </is>
      </c>
      <c r="D21" s="24" t="inlineStr">
        <is>
          <t>Developed catering budget based on attendance estimate</t>
        </is>
      </c>
      <c r="E21" s="24" t="inlineStr">
        <is>
          <t>#10</t>
        </is>
      </c>
      <c r="F21" s="25" t="n"/>
      <c r="G21" s="25" t="n"/>
      <c r="H21" s="25">
        <f>IF(AND(F21&lt;&gt;"",G21&lt;&gt;""),G21-F21+1,"")</f>
        <v/>
      </c>
      <c r="I21" s="25" t="n"/>
      <c r="J21" s="25" t="n"/>
      <c r="K21" s="25" t="n"/>
      <c r="L21" s="25" t="n"/>
    </row>
    <row r="22" ht="30" customHeight="1">
      <c r="A22" s="22" t="n">
        <v>20</v>
      </c>
      <c r="B22" s="23" t="inlineStr">
        <is>
          <t>Venue and Catering Finalization</t>
        </is>
      </c>
      <c r="C22" s="24" t="inlineStr">
        <is>
          <t>Obtain catering budget approval</t>
        </is>
      </c>
      <c r="D22" s="24" t="inlineStr">
        <is>
          <t>Approved catering budget for planning purposes</t>
        </is>
      </c>
      <c r="E22" s="24" t="inlineStr">
        <is>
          <t>#19</t>
        </is>
      </c>
      <c r="F22" s="25" t="n"/>
      <c r="G22" s="25" t="n"/>
      <c r="H22" s="25">
        <f>IF(AND(F22&lt;&gt;"",G22&lt;&gt;""),G22-F22+1,"")</f>
        <v/>
      </c>
      <c r="I22" s="25" t="n"/>
      <c r="J22" s="25" t="n"/>
      <c r="K22" s="25" t="n"/>
      <c r="L22" s="25" t="n"/>
    </row>
    <row r="23" ht="30" customHeight="1">
      <c r="A23" s="22" t="n">
        <v>21</v>
      </c>
      <c r="B23" s="23" t="inlineStr">
        <is>
          <t>Venue and Catering Finalization</t>
        </is>
      </c>
      <c r="C23" s="24" t="inlineStr">
        <is>
          <t>Arrange catering services</t>
        </is>
      </c>
      <c r="D23" s="24" t="inlineStr">
        <is>
          <t>Confirmed menu, service times, and order</t>
        </is>
      </c>
      <c r="E23" s="24" t="inlineStr">
        <is>
          <t>#20</t>
        </is>
      </c>
      <c r="F23" s="25" t="n"/>
      <c r="G23" s="25" t="n"/>
      <c r="H23" s="25">
        <f>IF(AND(F23&lt;&gt;"",G23&lt;&gt;""),G23-F23+1,"")</f>
        <v/>
      </c>
      <c r="I23" s="25" t="n"/>
      <c r="J23" s="25" t="n"/>
      <c r="K23" s="25" t="n"/>
      <c r="L23" s="25" t="n"/>
    </row>
    <row r="24" ht="30" customHeight="1">
      <c r="A24" s="22" t="n">
        <v>22</v>
      </c>
      <c r="B24" s="23" t="inlineStr">
        <is>
          <t>Venue and Catering Finalization</t>
        </is>
      </c>
      <c r="C24" s="26" t="inlineStr">
        <is>
          <t>Milestone 4 – Venue &amp; Catering Confirmed</t>
        </is>
      </c>
      <c r="D24" s="26" t="inlineStr">
        <is>
          <t>Confirmed venue, registration area, and catering</t>
        </is>
      </c>
      <c r="E24" s="26" t="inlineStr">
        <is>
          <t>#21</t>
        </is>
      </c>
      <c r="F24" s="27" t="n"/>
      <c r="G24" s="27" t="n"/>
      <c r="H24" s="27">
        <f>IF(AND(F24&lt;&gt;"",G24&lt;&gt;""),G24-F24+1,"")</f>
        <v/>
      </c>
      <c r="I24" s="27" t="n"/>
      <c r="J24" s="27" t="n"/>
      <c r="K24" s="27" t="n"/>
      <c r="L24" s="27" t="n"/>
    </row>
    <row r="25" ht="30" customHeight="1">
      <c r="A25" s="22" t="n">
        <v>23</v>
      </c>
      <c r="B25" s="23" t="inlineStr">
        <is>
          <t>Invitation &amp; Registration Materials</t>
        </is>
      </c>
      <c r="C25" s="24" t="inlineStr">
        <is>
          <t>Send placeholder calendar hold to target attendee list</t>
        </is>
      </c>
      <c r="D25" s="24" t="inlineStr">
        <is>
          <t>Distributed placeholder invite with confirmed date/time</t>
        </is>
      </c>
      <c r="E25" s="24" t="inlineStr">
        <is>
          <t>#18</t>
        </is>
      </c>
      <c r="F25" s="25" t="n"/>
      <c r="G25" s="25" t="n"/>
      <c r="H25" s="25">
        <f>IF(AND(F25&lt;&gt;"",G25&lt;&gt;""),G25-F25+1,"")</f>
        <v/>
      </c>
      <c r="I25" s="25" t="n"/>
      <c r="J25" s="25" t="n"/>
      <c r="K25" s="25" t="n"/>
      <c r="L25" s="25" t="n"/>
    </row>
    <row r="26" ht="30" customHeight="1">
      <c r="A26" s="22" t="n">
        <v>24</v>
      </c>
      <c r="B26" s="23" t="inlineStr">
        <is>
          <t>Invitation &amp; Registration Materials</t>
        </is>
      </c>
      <c r="C26" s="24" t="inlineStr">
        <is>
          <t>Draft invitation (agenda, venue, RSVP link)</t>
        </is>
      </c>
      <c r="D26" s="24" t="inlineStr">
        <is>
          <t>Prepared invitation with agenda and venue details</t>
        </is>
      </c>
      <c r="E26" s="24" t="inlineStr">
        <is>
          <t>#14, #18</t>
        </is>
      </c>
      <c r="F26" s="25" t="n"/>
      <c r="G26" s="25" t="n"/>
      <c r="H26" s="25">
        <f>IF(AND(F26&lt;&gt;"",G26&lt;&gt;""),G26-F26+1,"")</f>
        <v/>
      </c>
      <c r="I26" s="25" t="n"/>
      <c r="J26" s="25" t="n"/>
      <c r="K26" s="25" t="n"/>
      <c r="L26" s="25" t="n"/>
    </row>
    <row r="27" ht="30" customHeight="1">
      <c r="A27" s="22" t="n">
        <v>25</v>
      </c>
      <c r="B27" s="23" t="inlineStr">
        <is>
          <t>Invitation &amp; Registration Materials</t>
        </is>
      </c>
      <c r="C27" s="24" t="inlineStr">
        <is>
          <t>Review invitation with leadership</t>
        </is>
      </c>
      <c r="D27" s="24" t="inlineStr">
        <is>
          <t>Incorporated leadership feedback into invitation</t>
        </is>
      </c>
      <c r="E27" s="24" t="inlineStr">
        <is>
          <t>#24</t>
        </is>
      </c>
      <c r="F27" s="25" t="n"/>
      <c r="G27" s="25" t="n"/>
      <c r="H27" s="25">
        <f>IF(AND(F27&lt;&gt;"",G27&lt;&gt;""),G27-F27+1,"")</f>
        <v/>
      </c>
      <c r="I27" s="25" t="n"/>
      <c r="J27" s="25" t="n"/>
      <c r="K27" s="25" t="n"/>
      <c r="L27" s="25" t="n"/>
    </row>
    <row r="28" ht="30" customHeight="1">
      <c r="A28" s="22" t="n">
        <v>26</v>
      </c>
      <c r="B28" s="23" t="inlineStr">
        <is>
          <t>Invitation &amp; Registration Materials</t>
        </is>
      </c>
      <c r="C28" s="24" t="inlineStr">
        <is>
          <t>Send invitation to full attendee/prospect list</t>
        </is>
      </c>
      <c r="D28" s="24" t="inlineStr">
        <is>
          <t>Distributed invitation to organizers, leadership, and attendees</t>
        </is>
      </c>
      <c r="E28" s="24" t="inlineStr">
        <is>
          <t>#25</t>
        </is>
      </c>
      <c r="F28" s="25" t="n"/>
      <c r="G28" s="25" t="n"/>
      <c r="H28" s="25">
        <f>IF(AND(F28&lt;&gt;"",G28&lt;&gt;""),G28-F28+1,"")</f>
        <v/>
      </c>
      <c r="I28" s="25" t="n"/>
      <c r="J28" s="25" t="n"/>
      <c r="K28" s="25" t="n"/>
      <c r="L28" s="25" t="n"/>
    </row>
    <row r="29" ht="30" customHeight="1">
      <c r="A29" s="22" t="n">
        <v>27</v>
      </c>
      <c r="B29" s="23" t="inlineStr">
        <is>
          <t>Invitation &amp; Registration Materials</t>
        </is>
      </c>
      <c r="C29" s="24" t="inlineStr">
        <is>
          <t>Draft thank-you / post-event follow-up email template</t>
        </is>
      </c>
      <c r="D29" s="24" t="inlineStr">
        <is>
          <t>Prepared thank-you email including agenda recap</t>
        </is>
      </c>
      <c r="E29" s="24" t="inlineStr">
        <is>
          <t>None</t>
        </is>
      </c>
      <c r="F29" s="25" t="n"/>
      <c r="G29" s="25" t="n"/>
      <c r="H29" s="25">
        <f>IF(AND(F29&lt;&gt;"",G29&lt;&gt;""),G29-F29+1,"")</f>
        <v/>
      </c>
      <c r="I29" s="25" t="n"/>
      <c r="J29" s="25" t="n"/>
      <c r="K29" s="25" t="n"/>
      <c r="L29" s="25" t="n"/>
    </row>
    <row r="30" ht="30" customHeight="1">
      <c r="A30" s="22" t="n">
        <v>28</v>
      </c>
      <c r="B30" s="23" t="inlineStr">
        <is>
          <t>Invitation &amp; Registration Materials</t>
        </is>
      </c>
      <c r="C30" s="26" t="inlineStr">
        <is>
          <t>Milestone 5 – Invitation Materials Finalized</t>
        </is>
      </c>
      <c r="D30" s="26" t="inlineStr">
        <is>
          <t>Finalized invitation and post-event email templates</t>
        </is>
      </c>
      <c r="E30" s="26" t="inlineStr">
        <is>
          <t>#27</t>
        </is>
      </c>
      <c r="F30" s="27" t="n"/>
      <c r="G30" s="27" t="n"/>
      <c r="H30" s="27">
        <f>IF(AND(F30&lt;&gt;"",G30&lt;&gt;""),G30-F30+1,"")</f>
        <v/>
      </c>
      <c r="I30" s="27" t="n"/>
      <c r="J30" s="27" t="n"/>
      <c r="K30" s="27" t="n"/>
      <c r="L30" s="27" t="n"/>
    </row>
    <row r="31" ht="30" customHeight="1">
      <c r="A31" s="22" t="n">
        <v>29</v>
      </c>
      <c r="B31" s="23" t="inlineStr">
        <is>
          <t>Findings Deck &amp; Presentation Materials</t>
        </is>
      </c>
      <c r="C31" s="24" t="inlineStr">
        <is>
          <t>Apply Deloitte branding and finalize storyboard skeleton</t>
        </is>
      </c>
      <c r="D31" s="24" t="inlineStr">
        <is>
          <t>Presentation template aligned to branding standards</t>
        </is>
      </c>
      <c r="E31" s="24" t="inlineStr">
        <is>
          <t>#14</t>
        </is>
      </c>
      <c r="F31" s="25" t="n"/>
      <c r="G31" s="25" t="n"/>
      <c r="H31" s="25">
        <f>IF(AND(F31&lt;&gt;"",G31&lt;&gt;""),G31-F31+1,"")</f>
        <v/>
      </c>
      <c r="I31" s="25" t="n"/>
      <c r="J31" s="25" t="n"/>
      <c r="K31" s="25" t="n"/>
      <c r="L31" s="25" t="n"/>
    </row>
    <row r="32" ht="30" customHeight="1">
      <c r="A32" s="22" t="n">
        <v>30</v>
      </c>
      <c r="B32" s="23" t="inlineStr">
        <is>
          <t>Findings Deck &amp; Presentation Materials</t>
        </is>
      </c>
      <c r="C32" s="24" t="inlineStr">
        <is>
          <t>Share draft findings deck with slide owners/presenters</t>
        </is>
      </c>
      <c r="D32" s="24" t="inlineStr">
        <is>
          <t>Assigned slide ownership and distributed materials</t>
        </is>
      </c>
      <c r="E32" s="24" t="inlineStr">
        <is>
          <t>#8</t>
        </is>
      </c>
      <c r="F32" s="25" t="n"/>
      <c r="G32" s="25" t="n"/>
      <c r="H32" s="25">
        <f>IF(AND(F32&lt;&gt;"",G32&lt;&gt;""),G32-F32+1,"")</f>
        <v/>
      </c>
      <c r="I32" s="25" t="n"/>
      <c r="J32" s="25" t="n"/>
      <c r="K32" s="25" t="n"/>
      <c r="L32" s="25" t="n"/>
    </row>
    <row r="33" ht="30" customHeight="1">
      <c r="A33" s="22" t="n">
        <v>31</v>
      </c>
      <c r="B33" s="23" t="inlineStr">
        <is>
          <t>Findings Deck &amp; Presentation Materials</t>
        </is>
      </c>
      <c r="C33" s="24" t="inlineStr">
        <is>
          <t>QA review #1 – content flow, data accuracy, formatting</t>
        </is>
      </c>
      <c r="D33" s="24" t="inlineStr">
        <is>
          <t>Verified content flow, accuracy, and branding compliance</t>
        </is>
      </c>
      <c r="E33" s="24" t="inlineStr">
        <is>
          <t>#8</t>
        </is>
      </c>
      <c r="F33" s="25" t="n"/>
      <c r="G33" s="25" t="n"/>
      <c r="H33" s="25">
        <f>IF(AND(F33&lt;&gt;"",G33&lt;&gt;""),G33-F33+1,"")</f>
        <v/>
      </c>
      <c r="I33" s="25" t="n"/>
      <c r="J33" s="25" t="n"/>
      <c r="K33" s="25" t="n"/>
      <c r="L33" s="25" t="n"/>
    </row>
    <row r="34" ht="30" customHeight="1">
      <c r="A34" s="22" t="n">
        <v>32</v>
      </c>
      <c r="B34" s="23" t="inlineStr">
        <is>
          <t>Findings Deck &amp; Presentation Materials</t>
        </is>
      </c>
      <c r="C34" s="24" t="inlineStr">
        <is>
          <t>Review findings deck with leadership</t>
        </is>
      </c>
      <c r="D34" s="24" t="inlineStr">
        <is>
          <t>Incorporated leadership feedback into deck</t>
        </is>
      </c>
      <c r="E34" s="24" t="inlineStr">
        <is>
          <t>#31</t>
        </is>
      </c>
      <c r="F34" s="25" t="n"/>
      <c r="G34" s="25" t="n"/>
      <c r="H34" s="25">
        <f>IF(AND(F34&lt;&gt;"",G34&lt;&gt;""),G34-F34+1,"")</f>
        <v/>
      </c>
      <c r="I34" s="25" t="n"/>
      <c r="J34" s="25" t="n"/>
      <c r="K34" s="25" t="n"/>
      <c r="L34" s="25" t="n"/>
    </row>
    <row r="35" ht="30" customHeight="1">
      <c r="A35" s="22" t="n">
        <v>33</v>
      </c>
      <c r="B35" s="23" t="inlineStr">
        <is>
          <t>Findings Deck &amp; Presentation Materials</t>
        </is>
      </c>
      <c r="C35" s="24" t="inlineStr">
        <is>
          <t>Obtain leadership approval of final findings deck</t>
        </is>
      </c>
      <c r="D35" s="24" t="inlineStr">
        <is>
          <t>Approved findings deck for Forum delivery</t>
        </is>
      </c>
      <c r="E35" s="24" t="inlineStr">
        <is>
          <t>#32</t>
        </is>
      </c>
      <c r="F35" s="25" t="n"/>
      <c r="G35" s="25" t="n"/>
      <c r="H35" s="25">
        <f>IF(AND(F35&lt;&gt;"",G35&lt;&gt;""),G35-F35+1,"")</f>
        <v/>
      </c>
      <c r="I35" s="25" t="n"/>
      <c r="J35" s="25" t="n"/>
      <c r="K35" s="25" t="n"/>
      <c r="L35" s="25" t="n"/>
    </row>
    <row r="36" ht="30" customHeight="1">
      <c r="A36" s="22" t="n">
        <v>34</v>
      </c>
      <c r="B36" s="23" t="inlineStr">
        <is>
          <t>Findings Deck &amp; Presentation Materials</t>
        </is>
      </c>
      <c r="C36" s="26" t="inlineStr">
        <is>
          <t>Milestone 6 – Findings Deck Finalized</t>
        </is>
      </c>
      <c r="D36" s="26" t="inlineStr">
        <is>
          <t>Finalized findings deck ready for rehearsal</t>
        </is>
      </c>
      <c r="E36" s="26" t="inlineStr">
        <is>
          <t>#33</t>
        </is>
      </c>
      <c r="F36" s="27" t="n"/>
      <c r="G36" s="27" t="n"/>
      <c r="H36" s="27">
        <f>IF(AND(F36&lt;&gt;"",G36&lt;&gt;""),G36-F36+1,"")</f>
        <v/>
      </c>
      <c r="I36" s="27" t="n"/>
      <c r="J36" s="27" t="n"/>
      <c r="K36" s="27" t="n"/>
      <c r="L36" s="27" t="n"/>
    </row>
    <row r="37" ht="30" customHeight="1">
      <c r="A37" s="22" t="n">
        <v>35</v>
      </c>
      <c r="B37" s="23" t="inlineStr">
        <is>
          <t>Pre-Event Planning</t>
        </is>
      </c>
      <c r="C37" s="24" t="inlineStr">
        <is>
          <t>Set up shared folder and supporting templates</t>
        </is>
      </c>
      <c r="D37" s="24" t="inlineStr">
        <is>
          <t>Centralized workspace accessible to organizing team</t>
        </is>
      </c>
      <c r="E37" s="24" t="inlineStr">
        <is>
          <t>None</t>
        </is>
      </c>
      <c r="F37" s="25" t="n"/>
      <c r="G37" s="25" t="n"/>
      <c r="H37" s="25">
        <f>IF(AND(F37&lt;&gt;"",G37&lt;&gt;""),G37-F37+1,"")</f>
        <v/>
      </c>
      <c r="I37" s="25" t="n"/>
      <c r="J37" s="25" t="n"/>
      <c r="K37" s="25" t="n"/>
      <c r="L37" s="25" t="n"/>
    </row>
    <row r="38" ht="30" customHeight="1">
      <c r="A38" s="22" t="n">
        <v>36</v>
      </c>
      <c r="B38" s="23" t="inlineStr">
        <is>
          <t>Pre-Event Planning</t>
        </is>
      </c>
      <c r="C38" s="24" t="inlineStr">
        <is>
          <t>Create a Teams channel for the Forum organizing team</t>
        </is>
      </c>
      <c r="D38" s="24" t="inlineStr">
        <is>
          <t>Established communication channel with all organizers added</t>
        </is>
      </c>
      <c r="E38" s="24" t="inlineStr">
        <is>
          <t>None</t>
        </is>
      </c>
      <c r="F38" s="25" t="n"/>
      <c r="G38" s="25" t="n"/>
      <c r="H38" s="25">
        <f>IF(AND(F38&lt;&gt;"",G38&lt;&gt;""),G38-F38+1,"")</f>
        <v/>
      </c>
      <c r="I38" s="25" t="n"/>
      <c r="J38" s="25" t="n"/>
      <c r="K38" s="25" t="n"/>
      <c r="L38" s="25" t="n"/>
    </row>
    <row r="39" ht="30" customHeight="1">
      <c r="A39" s="22" t="n">
        <v>37</v>
      </c>
      <c r="B39" s="23" t="inlineStr">
        <is>
          <t>Pre-Event Planning</t>
        </is>
      </c>
      <c r="C39" s="24" t="inlineStr">
        <is>
          <t>Schedule weekly organizing-team stand-ups</t>
        </is>
      </c>
      <c r="D39" s="24" t="inlineStr">
        <is>
          <t>Scheduled recurring meetings and communicated expectations</t>
        </is>
      </c>
      <c r="E39" s="24" t="inlineStr">
        <is>
          <t>None</t>
        </is>
      </c>
      <c r="F39" s="25" t="n"/>
      <c r="G39" s="25" t="n"/>
      <c r="H39" s="25">
        <f>IF(AND(F39&lt;&gt;"",G39&lt;&gt;""),G39-F39+1,"")</f>
        <v/>
      </c>
      <c r="I39" s="25" t="n"/>
      <c r="J39" s="25" t="n"/>
      <c r="K39" s="25" t="n"/>
      <c r="L39" s="25" t="n"/>
    </row>
    <row r="40" ht="30" customHeight="1">
      <c r="A40" s="22" t="n">
        <v>38</v>
      </c>
      <c r="B40" s="23" t="inlineStr">
        <is>
          <t>Outreach and Registration</t>
        </is>
      </c>
      <c r="C40" s="24" t="inlineStr">
        <is>
          <t>Set up the registration link/tracker</t>
        </is>
      </c>
      <c r="D40" s="24" t="inlineStr">
        <is>
          <t>Configured and tested registration platform</t>
        </is>
      </c>
      <c r="E40" s="24" t="inlineStr">
        <is>
          <t>#17</t>
        </is>
      </c>
      <c r="F40" s="25" t="n"/>
      <c r="G40" s="25" t="n"/>
      <c r="H40" s="25">
        <f>IF(AND(F40&lt;&gt;"",G40&lt;&gt;""),G40-F40+1,"")</f>
        <v/>
      </c>
      <c r="I40" s="25" t="n"/>
      <c r="J40" s="25" t="n"/>
      <c r="K40" s="25" t="n"/>
      <c r="L40" s="25" t="n"/>
    </row>
    <row r="41" ht="30" customHeight="1">
      <c r="A41" s="22" t="n">
        <v>39</v>
      </c>
      <c r="B41" s="23" t="inlineStr">
        <is>
          <t>Outreach and Registration</t>
        </is>
      </c>
      <c r="C41" s="24" t="inlineStr">
        <is>
          <t>Distribute registration link to attendee list</t>
        </is>
      </c>
      <c r="D41" s="24" t="inlineStr">
        <is>
          <t>Sent registration link to intended attendees</t>
        </is>
      </c>
      <c r="E41" s="24" t="inlineStr">
        <is>
          <t>#26, #38</t>
        </is>
      </c>
      <c r="F41" s="25" t="n"/>
      <c r="G41" s="25" t="n"/>
      <c r="H41" s="25">
        <f>IF(AND(F41&lt;&gt;"",G41&lt;&gt;""),G41-F41+1,"")</f>
        <v/>
      </c>
      <c r="I41" s="25" t="n"/>
      <c r="J41" s="25" t="n"/>
      <c r="K41" s="25" t="n"/>
      <c r="L41" s="25" t="n"/>
    </row>
    <row r="42" ht="30" customHeight="1">
      <c r="A42" s="22" t="n">
        <v>40</v>
      </c>
      <c r="B42" s="23" t="inlineStr">
        <is>
          <t>Outreach and Registration</t>
        </is>
      </c>
      <c r="C42" s="26" t="inlineStr">
        <is>
          <t>Milestone 7 – Registration Opened</t>
        </is>
      </c>
      <c r="D42" s="26" t="inlineStr">
        <is>
          <t>Opened attendee registration process</t>
        </is>
      </c>
      <c r="E42" s="26" t="inlineStr">
        <is>
          <t>#39</t>
        </is>
      </c>
      <c r="F42" s="27" t="n"/>
      <c r="G42" s="27" t="n"/>
      <c r="H42" s="27">
        <f>IF(AND(F42&lt;&gt;"",G42&lt;&gt;""),G42-F42+1,"")</f>
        <v/>
      </c>
      <c r="I42" s="27" t="n"/>
      <c r="J42" s="27" t="n"/>
      <c r="K42" s="27" t="n"/>
      <c r="L42" s="27" t="n"/>
    </row>
    <row r="43" ht="30" customHeight="1">
      <c r="A43" s="22" t="n">
        <v>41</v>
      </c>
      <c r="B43" s="23" t="inlineStr">
        <is>
          <t>Outreach and Registration</t>
        </is>
      </c>
      <c r="C43" s="24" t="inlineStr">
        <is>
          <t>Download registration report and reconcile against invite list</t>
        </is>
      </c>
      <c r="D43" s="24" t="inlineStr">
        <is>
          <t>Generated report for reconciliation purposes</t>
        </is>
      </c>
      <c r="E43" s="24" t="inlineStr">
        <is>
          <t>#38</t>
        </is>
      </c>
      <c r="F43" s="25" t="n"/>
      <c r="G43" s="25" t="n"/>
      <c r="H43" s="25">
        <f>IF(AND(F43&lt;&gt;"",G43&lt;&gt;""),G43-F43+1,"")</f>
        <v/>
      </c>
      <c r="I43" s="25" t="n"/>
      <c r="J43" s="25" t="n"/>
      <c r="K43" s="25" t="n"/>
      <c r="L43" s="25" t="n"/>
    </row>
    <row r="44" ht="30" customHeight="1">
      <c r="A44" s="22" t="n">
        <v>42</v>
      </c>
      <c r="B44" s="23" t="inlineStr">
        <is>
          <t>Outreach and Registration</t>
        </is>
      </c>
      <c r="C44" s="24" t="inlineStr">
        <is>
          <t>Share registration status with leadership</t>
        </is>
      </c>
      <c r="D44" s="24" t="inlineStr">
        <is>
          <t>Provided leadership with attendance trends</t>
        </is>
      </c>
      <c r="E44" s="24" t="inlineStr">
        <is>
          <t>#41</t>
        </is>
      </c>
      <c r="F44" s="25" t="n"/>
      <c r="G44" s="25" t="n"/>
      <c r="H44" s="25">
        <f>IF(AND(F44&lt;&gt;"",G44&lt;&gt;""),G44-F44+1,"")</f>
        <v/>
      </c>
      <c r="I44" s="25" t="n"/>
      <c r="J44" s="25" t="n"/>
      <c r="K44" s="25" t="n"/>
      <c r="L44" s="25" t="n"/>
    </row>
    <row r="45" ht="30" customHeight="1">
      <c r="A45" s="22" t="n">
        <v>43</v>
      </c>
      <c r="B45" s="23" t="inlineStr">
        <is>
          <t>Outreach and Registration</t>
        </is>
      </c>
      <c r="C45" s="24" t="inlineStr">
        <is>
          <t>Send reminder invites to outstanding attendees</t>
        </is>
      </c>
      <c r="D45" s="24" t="inlineStr">
        <is>
          <t>Distributed reminders to all outstanding invitees</t>
        </is>
      </c>
      <c r="E45" s="24" t="inlineStr">
        <is>
          <t>#42</t>
        </is>
      </c>
      <c r="F45" s="25" t="n"/>
      <c r="G45" s="25" t="n"/>
      <c r="H45" s="25">
        <f>IF(AND(F45&lt;&gt;"",G45&lt;&gt;""),G45-F45+1,"")</f>
        <v/>
      </c>
      <c r="I45" s="25" t="n"/>
      <c r="J45" s="25" t="n"/>
      <c r="K45" s="25" t="n"/>
      <c r="L45" s="25" t="n"/>
    </row>
    <row r="46" ht="30" customHeight="1">
      <c r="A46" s="22" t="n">
        <v>44</v>
      </c>
      <c r="B46" s="23" t="inlineStr">
        <is>
          <t>Outreach and Registration</t>
        </is>
      </c>
      <c r="C46" s="24" t="inlineStr">
        <is>
          <t>Register external attendees per required process</t>
        </is>
      </c>
      <c r="D46" s="24" t="inlineStr">
        <is>
          <t>Completed external-attendee registration requirements</t>
        </is>
      </c>
      <c r="E46" s="24" t="inlineStr">
        <is>
          <t>#41</t>
        </is>
      </c>
      <c r="F46" s="25" t="n"/>
      <c r="G46" s="25" t="n"/>
      <c r="H46" s="25">
        <f>IF(AND(F46&lt;&gt;"",G46&lt;&gt;""),G46-F46+1,"")</f>
        <v/>
      </c>
      <c r="I46" s="25" t="n"/>
      <c r="J46" s="25" t="n"/>
      <c r="K46" s="25" t="n"/>
      <c r="L46" s="25" t="n"/>
    </row>
    <row r="47" ht="30" customHeight="1">
      <c r="A47" s="22" t="n">
        <v>45</v>
      </c>
      <c r="B47" s="23" t="inlineStr">
        <is>
          <t>Outreach and Registration</t>
        </is>
      </c>
      <c r="C47" s="26" t="inlineStr">
        <is>
          <t>Milestone 8 – Registration Closed</t>
        </is>
      </c>
      <c r="D47" s="26" t="inlineStr">
        <is>
          <t>Completed registration and reconciliation activities</t>
        </is>
      </c>
      <c r="E47" s="26" t="inlineStr">
        <is>
          <t>#44</t>
        </is>
      </c>
      <c r="F47" s="27" t="n"/>
      <c r="G47" s="27" t="n"/>
      <c r="H47" s="27">
        <f>IF(AND(F47&lt;&gt;"",G47&lt;&gt;""),G47-F47+1,"")</f>
        <v/>
      </c>
      <c r="I47" s="27" t="n"/>
      <c r="J47" s="27" t="n"/>
      <c r="K47" s="27" t="n"/>
      <c r="L47" s="27" t="n"/>
    </row>
    <row r="48" ht="30" customHeight="1">
      <c r="A48" s="22" t="n">
        <v>46</v>
      </c>
      <c r="B48" s="23" t="inlineStr">
        <is>
          <t>Signage &amp; Event Logistics</t>
        </is>
      </c>
      <c r="C48" s="24" t="inlineStr">
        <is>
          <t>Draft event signage (agenda, welcome, sponsor recognition)</t>
        </is>
      </c>
      <c r="D48" s="24" t="inlineStr">
        <is>
          <t>Prepared signage aligned to branding and venue requirements</t>
        </is>
      </c>
      <c r="E48" s="24" t="inlineStr">
        <is>
          <t>#21</t>
        </is>
      </c>
      <c r="F48" s="25" t="n"/>
      <c r="G48" s="25" t="n"/>
      <c r="H48" s="25">
        <f>IF(AND(F48&lt;&gt;"",G48&lt;&gt;""),G48-F48+1,"")</f>
        <v/>
      </c>
      <c r="I48" s="25" t="n"/>
      <c r="J48" s="25" t="n"/>
      <c r="K48" s="25" t="n"/>
      <c r="L48" s="25" t="n"/>
    </row>
    <row r="49" ht="30" customHeight="1">
      <c r="A49" s="22" t="n">
        <v>47</v>
      </c>
      <c r="B49" s="23" t="inlineStr">
        <is>
          <t>Signage &amp; Event Logistics</t>
        </is>
      </c>
      <c r="C49" s="24" t="inlineStr">
        <is>
          <t>Approve event signage</t>
        </is>
      </c>
      <c r="D49" s="24" t="inlineStr">
        <is>
          <t>Approved signage for production and event use</t>
        </is>
      </c>
      <c r="E49" s="24" t="inlineStr">
        <is>
          <t>#46</t>
        </is>
      </c>
      <c r="F49" s="25" t="n"/>
      <c r="G49" s="25" t="n"/>
      <c r="H49" s="25">
        <f>IF(AND(F49&lt;&gt;"",G49&lt;&gt;""),G49-F49+1,"")</f>
        <v/>
      </c>
      <c r="I49" s="25" t="n"/>
      <c r="J49" s="25" t="n"/>
      <c r="K49" s="25" t="n"/>
      <c r="L49" s="25" t="n"/>
    </row>
    <row r="50" ht="30" customHeight="1">
      <c r="A50" s="22" t="n">
        <v>48</v>
      </c>
      <c r="B50" s="23" t="inlineStr">
        <is>
          <t>Signage &amp; Event Logistics</t>
        </is>
      </c>
      <c r="C50" s="24" t="inlineStr">
        <is>
          <t>Coordinate AV/IT and videoconferencing requirements</t>
        </is>
      </c>
      <c r="D50" s="24" t="inlineStr">
        <is>
          <t>Confirmed technical requirements and event-day support</t>
        </is>
      </c>
      <c r="E50" s="24" t="inlineStr">
        <is>
          <t>#18</t>
        </is>
      </c>
      <c r="F50" s="25" t="n"/>
      <c r="G50" s="25" t="n"/>
      <c r="H50" s="25">
        <f>IF(AND(F50&lt;&gt;"",G50&lt;&gt;""),G50-F50+1,"")</f>
        <v/>
      </c>
      <c r="I50" s="25" t="n"/>
      <c r="J50" s="25" t="n"/>
      <c r="K50" s="25" t="n"/>
      <c r="L50" s="25" t="n"/>
    </row>
    <row r="51" ht="30" customHeight="1">
      <c r="A51" s="22" t="n">
        <v>49</v>
      </c>
      <c r="B51" s="23" t="inlineStr">
        <is>
          <t>Signage &amp; Event Logistics</t>
        </is>
      </c>
      <c r="C51" s="24" t="inlineStr">
        <is>
          <t>Order name tags, lanyards, and badge holders</t>
        </is>
      </c>
      <c r="D51" s="24" t="inlineStr">
        <is>
          <t>Ordered event materials and confirmed delivery</t>
        </is>
      </c>
      <c r="E51" s="24" t="inlineStr">
        <is>
          <t>#43</t>
        </is>
      </c>
      <c r="F51" s="25" t="n"/>
      <c r="G51" s="25" t="n"/>
      <c r="H51" s="25">
        <f>IF(AND(F51&lt;&gt;"",G51&lt;&gt;""),G51-F51+1,"")</f>
        <v/>
      </c>
      <c r="I51" s="25" t="n"/>
      <c r="J51" s="25" t="n"/>
      <c r="K51" s="25" t="n"/>
      <c r="L51" s="25" t="n"/>
    </row>
    <row r="52" ht="30" customHeight="1">
      <c r="A52" s="22" t="n">
        <v>50</v>
      </c>
      <c r="B52" s="23" t="inlineStr">
        <is>
          <t>Event Execution Logistics</t>
        </is>
      </c>
      <c r="C52" s="24" t="inlineStr">
        <is>
          <t>Confirm moderator(s) and panel speakers</t>
        </is>
      </c>
      <c r="D52" s="24" t="inlineStr">
        <is>
          <t>Selected moderator(s) and communicated responsibilities</t>
        </is>
      </c>
      <c r="E52" s="24" t="inlineStr">
        <is>
          <t>#14</t>
        </is>
      </c>
      <c r="F52" s="25" t="n"/>
      <c r="G52" s="25" t="n"/>
      <c r="H52" s="25">
        <f>IF(AND(F52&lt;&gt;"",G52&lt;&gt;""),G52-F52+1,"")</f>
        <v/>
      </c>
      <c r="I52" s="25" t="n"/>
      <c r="J52" s="25" t="n"/>
      <c r="K52" s="25" t="n"/>
      <c r="L52" s="25" t="n"/>
    </row>
    <row r="53" ht="30" customHeight="1">
      <c r="A53" s="22" t="n">
        <v>51</v>
      </c>
      <c r="B53" s="23" t="inlineStr">
        <is>
          <t>Event Execution Logistics</t>
        </is>
      </c>
      <c r="C53" s="24" t="inlineStr">
        <is>
          <t>Prepare keynote/panel Q&amp;A discussion questions</t>
        </is>
      </c>
      <c r="D53" s="24" t="inlineStr">
        <is>
          <t>Developed and approved discussion questions</t>
        </is>
      </c>
      <c r="E53" s="24" t="inlineStr">
        <is>
          <t>#34</t>
        </is>
      </c>
      <c r="F53" s="25" t="n"/>
      <c r="G53" s="25" t="n"/>
      <c r="H53" s="25">
        <f>IF(AND(F53&lt;&gt;"",G53&lt;&gt;""),G53-F53+1,"")</f>
        <v/>
      </c>
      <c r="I53" s="25" t="n"/>
      <c r="J53" s="25" t="n"/>
      <c r="K53" s="25" t="n"/>
      <c r="L53" s="25" t="n"/>
    </row>
    <row r="54" ht="30" customHeight="1">
      <c r="A54" s="22" t="n">
        <v>52</v>
      </c>
      <c r="B54" s="23" t="inlineStr">
        <is>
          <t>Event Execution Logistics</t>
        </is>
      </c>
      <c r="C54" s="24" t="inlineStr">
        <is>
          <t>Conduct full dry run with presenters and panelists</t>
        </is>
      </c>
      <c r="D54" s="24" t="inlineStr">
        <is>
          <t>Completed rehearsal covering timing, handoffs, and tech</t>
        </is>
      </c>
      <c r="E54" s="24" t="inlineStr">
        <is>
          <t>#34, #50, #51</t>
        </is>
      </c>
      <c r="F54" s="25" t="n"/>
      <c r="G54" s="25" t="n"/>
      <c r="H54" s="25">
        <f>IF(AND(F54&lt;&gt;"",G54&lt;&gt;""),G54-F54+1,"")</f>
        <v/>
      </c>
      <c r="I54" s="25" t="n"/>
      <c r="J54" s="25" t="n"/>
      <c r="K54" s="25" t="n"/>
      <c r="L54" s="25" t="n"/>
    </row>
    <row r="55" ht="30" customHeight="1">
      <c r="A55" s="22" t="n">
        <v>53</v>
      </c>
      <c r="B55" s="23" t="inlineStr">
        <is>
          <t>Event Execution Logistics</t>
        </is>
      </c>
      <c r="C55" s="26" t="inlineStr">
        <is>
          <t>Milestone 9 – Rehearsal &amp; Materials Complete</t>
        </is>
      </c>
      <c r="D55" s="26" t="inlineStr">
        <is>
          <t>Confirmed speaker readiness and materials</t>
        </is>
      </c>
      <c r="E55" s="26" t="inlineStr">
        <is>
          <t>#52</t>
        </is>
      </c>
      <c r="F55" s="27" t="n"/>
      <c r="G55" s="27" t="n"/>
      <c r="H55" s="27">
        <f>IF(AND(F55&lt;&gt;"",G55&lt;&gt;""),G55-F55+1,"")</f>
        <v/>
      </c>
      <c r="I55" s="27" t="n"/>
      <c r="J55" s="27" t="n"/>
      <c r="K55" s="27" t="n"/>
      <c r="L55" s="27" t="n"/>
    </row>
    <row r="56" ht="30" customHeight="1">
      <c r="A56" s="22" t="n">
        <v>54</v>
      </c>
      <c r="B56" s="23" t="inlineStr">
        <is>
          <t>Day-of Roles</t>
        </is>
      </c>
      <c r="C56" s="24" t="inlineStr">
        <is>
          <t>Assign day-of responsibilities (Team Coordination tab)</t>
        </is>
      </c>
      <c r="D56" s="24" t="inlineStr">
        <is>
          <t>Documented and communicated event-day roles</t>
        </is>
      </c>
      <c r="E56" s="24" t="inlineStr">
        <is>
          <t>#48</t>
        </is>
      </c>
      <c r="F56" s="25" t="n"/>
      <c r="G56" s="25" t="n"/>
      <c r="H56" s="25">
        <f>IF(AND(F56&lt;&gt;"",G56&lt;&gt;""),G56-F56+1,"")</f>
        <v/>
      </c>
      <c r="I56" s="25" t="n"/>
      <c r="J56" s="25" t="n"/>
      <c r="K56" s="25" t="n"/>
      <c r="L56" s="25" t="n"/>
    </row>
    <row r="57" ht="30" customHeight="1">
      <c r="A57" s="22" t="n">
        <v>55</v>
      </c>
      <c r="B57" s="23" t="inlineStr">
        <is>
          <t>Day-of Event Execution</t>
        </is>
      </c>
      <c r="C57" s="24" t="inlineStr">
        <is>
          <t>Set up registration desk, signage, and badges</t>
        </is>
      </c>
      <c r="D57" s="24" t="inlineStr">
        <is>
          <t>Registration area ready 30 minutes before doors open</t>
        </is>
      </c>
      <c r="E57" s="24" t="inlineStr">
        <is>
          <t>#47, #54</t>
        </is>
      </c>
      <c r="F57" s="25" t="n"/>
      <c r="G57" s="25" t="n"/>
      <c r="H57" s="25">
        <f>IF(AND(F57&lt;&gt;"",G57&lt;&gt;""),G57-F57+1,"")</f>
        <v/>
      </c>
      <c r="I57" s="25" t="n"/>
      <c r="J57" s="25" t="n"/>
      <c r="K57" s="25" t="n"/>
      <c r="L57" s="25" t="n"/>
    </row>
    <row r="58" ht="30" customHeight="1">
      <c r="A58" s="22" t="n">
        <v>56</v>
      </c>
      <c r="B58" s="23" t="inlineStr">
        <is>
          <t>Day-of Event Execution</t>
        </is>
      </c>
      <c r="C58" s="24" t="inlineStr">
        <is>
          <t>Complete final AV/tech checks</t>
        </is>
      </c>
      <c r="D58" s="24" t="inlineStr">
        <is>
          <t>Verified presentation, AV, and videoconferencing equipment</t>
        </is>
      </c>
      <c r="E58" s="24" t="inlineStr">
        <is>
          <t>#48</t>
        </is>
      </c>
      <c r="F58" s="25" t="n"/>
      <c r="G58" s="25" t="n"/>
      <c r="H58" s="25">
        <f>IF(AND(F58&lt;&gt;"",G58&lt;&gt;""),G58-F58+1,"")</f>
        <v/>
      </c>
      <c r="I58" s="25" t="n"/>
      <c r="J58" s="25" t="n"/>
      <c r="K58" s="25" t="n"/>
      <c r="L58" s="25" t="n"/>
    </row>
    <row r="59" ht="30" customHeight="1">
      <c r="A59" s="22" t="n">
        <v>57</v>
      </c>
      <c r="B59" s="23" t="inlineStr">
        <is>
          <t>Day-of Event Execution</t>
        </is>
      </c>
      <c r="C59" s="24" t="inlineStr">
        <is>
          <t>Facilitate Forum sessions and breakouts</t>
        </is>
      </c>
      <c r="D59" s="24" t="inlineStr">
        <is>
          <t>Delivered agenda as planned; captured key discussion points</t>
        </is>
      </c>
      <c r="E59" s="24" t="inlineStr">
        <is>
          <t>#53</t>
        </is>
      </c>
      <c r="F59" s="25" t="n"/>
      <c r="G59" s="25" t="n"/>
      <c r="H59" s="25">
        <f>IF(AND(F59&lt;&gt;"",G59&lt;&gt;""),G59-F59+1,"")</f>
        <v/>
      </c>
      <c r="I59" s="25" t="n"/>
      <c r="J59" s="25" t="n"/>
      <c r="K59" s="25" t="n"/>
      <c r="L59" s="25" t="n"/>
    </row>
    <row r="60" ht="30" customHeight="1">
      <c r="A60" s="22" t="n">
        <v>58</v>
      </c>
      <c r="B60" s="23" t="inlineStr">
        <is>
          <t>Post-Event Follow-Up</t>
        </is>
      </c>
      <c r="C60" s="24" t="inlineStr">
        <is>
          <t>Distribute thank-you email with findings deck attached</t>
        </is>
      </c>
      <c r="D60" s="24" t="inlineStr">
        <is>
          <t>Distributed approved thank-you email and materials</t>
        </is>
      </c>
      <c r="E60" s="24" t="inlineStr">
        <is>
          <t>#28, #57</t>
        </is>
      </c>
      <c r="F60" s="25" t="n"/>
      <c r="G60" s="25" t="n"/>
      <c r="H60" s="25">
        <f>IF(AND(F60&lt;&gt;"",G60&lt;&gt;""),G60-F60+1,"")</f>
        <v/>
      </c>
      <c r="I60" s="25" t="n"/>
      <c r="J60" s="25" t="n"/>
      <c r="K60" s="25" t="n"/>
      <c r="L60" s="25" t="n"/>
    </row>
    <row r="61" ht="30" customHeight="1">
      <c r="A61" s="22" t="n">
        <v>59</v>
      </c>
      <c r="B61" s="23" t="inlineStr">
        <is>
          <t>Post-Event Follow-Up</t>
        </is>
      </c>
      <c r="C61" s="24" t="inlineStr">
        <is>
          <t>Prepare and distribute session summary / key takeaways</t>
        </is>
      </c>
      <c r="D61" s="24" t="inlineStr">
        <is>
          <t>Distributed summary of discussions and next steps</t>
        </is>
      </c>
      <c r="E61" s="24" t="inlineStr">
        <is>
          <t>#57</t>
        </is>
      </c>
      <c r="F61" s="25" t="n"/>
      <c r="G61" s="25" t="n"/>
      <c r="H61" s="25">
        <f>IF(AND(F61&lt;&gt;"",G61&lt;&gt;""),G61-F61+1,"")</f>
        <v/>
      </c>
      <c r="I61" s="25" t="n"/>
      <c r="J61" s="25" t="n"/>
      <c r="K61" s="25" t="n"/>
      <c r="L61" s="25" t="n"/>
    </row>
    <row r="62" ht="30" customHeight="1">
      <c r="A62" s="22" t="n">
        <v>60</v>
      </c>
      <c r="B62" s="23" t="inlineStr">
        <is>
          <t>Post-Event Follow-Up</t>
        </is>
      </c>
      <c r="C62" s="24" t="inlineStr">
        <is>
          <t>Retrospective meeting with organizing team</t>
        </is>
      </c>
      <c r="D62" s="24" t="inlineStr">
        <is>
          <t>Reviewed what went well, what didn't, and lessons learned</t>
        </is>
      </c>
      <c r="E62" s="24" t="inlineStr">
        <is>
          <t>#57</t>
        </is>
      </c>
      <c r="F62" s="25" t="n"/>
      <c r="G62" s="25" t="n"/>
      <c r="H62" s="25">
        <f>IF(AND(F62&lt;&gt;"",G62&lt;&gt;""),G62-F62+1,"")</f>
        <v/>
      </c>
      <c r="I62" s="25" t="n"/>
      <c r="J62" s="25" t="n"/>
      <c r="K62" s="25" t="n"/>
      <c r="L62" s="25" t="n"/>
    </row>
    <row r="63" ht="30" customHeight="1">
      <c r="A63" s="22" t="n">
        <v>61</v>
      </c>
      <c r="B63" s="23" t="inlineStr">
        <is>
          <t>Post-Event Follow-Up</t>
        </is>
      </c>
      <c r="C63" s="24" t="inlineStr">
        <is>
          <t>Update workback plan with lessons learned for next event</t>
        </is>
      </c>
      <c r="D63" s="24" t="inlineStr">
        <is>
          <t>Workback plan updated for future Forum planning</t>
        </is>
      </c>
      <c r="E63" s="24" t="inlineStr">
        <is>
          <t>#60</t>
        </is>
      </c>
      <c r="F63" s="25" t="n"/>
      <c r="G63" s="25" t="n"/>
      <c r="H63" s="25">
        <f>IF(AND(F63&lt;&gt;"",G63&lt;&gt;""),G63-F63+1,"")</f>
        <v/>
      </c>
      <c r="I63" s="25" t="n"/>
      <c r="J63" s="25" t="n"/>
      <c r="K63" s="25" t="n"/>
      <c r="L63" s="25" t="n"/>
    </row>
    <row r="65">
      <c r="B65" s="21" t="inlineStr">
        <is>
          <t>Legend: white cells = fill in as you plan/execute. Row 3 is a worked example. Status auto-shades from the dropdown in column K.</t>
        </is>
      </c>
    </row>
  </sheetData>
  <mergeCells count="2">
    <mergeCell ref="A1:E1"/>
    <mergeCell ref="B65:H65"/>
  </mergeCells>
  <conditionalFormatting sqref="K3:K63">
    <cfRule type="expression" priority="1" dxfId="0">
      <formula>NOT(ISERROR(SEARCH("Complete",K3)))</formula>
    </cfRule>
    <cfRule type="expression" priority="2" dxfId="1">
      <formula>NOT(ISERROR(SEARCH("In progress",K3)))</formula>
    </cfRule>
  </conditionalFormatting>
  <dataValidations count="2">
    <dataValidation sqref="K3:K63" showDropDown="0" showInputMessage="0" showErrorMessage="0" allowBlank="1" type="list">
      <formula1>"Complete, In progress, --"</formula1>
    </dataValidation>
    <dataValidation sqref="J3:J63" showDropDown="0" showInputMessage="0" showErrorMessage="0" allowBlank="1" type="list">
      <formula1>"Project Lead,Research Lead,Deck Lead,Event Logistics Lead,Registration &amp; Marketing Lead,Moderator / Presenter"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46" customWidth="1" min="3" max="3"/>
    <col width="22" customWidth="1" min="4" max="4"/>
  </cols>
  <sheetData>
    <row r="1" ht="24" customHeight="1">
      <c r="A1" s="1" t="inlineStr">
        <is>
          <t>Day-of Team Coordination</t>
        </is>
      </c>
      <c r="B1" s="2" t="n"/>
      <c r="C1" s="2" t="n"/>
      <c r="D1" s="2" t="n"/>
    </row>
    <row r="2">
      <c r="A2" s="11" t="inlineStr">
        <is>
          <t>Role</t>
        </is>
      </c>
      <c r="B2" s="12" t="inlineStr">
        <is>
          <t>Quantity</t>
        </is>
      </c>
      <c r="C2" s="11" t="inlineStr">
        <is>
          <t>What They Do</t>
        </is>
      </c>
      <c r="D2" s="12" t="inlineStr">
        <is>
          <t>Assigned To</t>
        </is>
      </c>
    </row>
    <row r="3" ht="26" customHeight="1">
      <c r="A3" s="7" t="inlineStr">
        <is>
          <t>Logistics Team Lead</t>
        </is>
      </c>
      <c r="B3" s="28" t="n">
        <v>1</v>
      </c>
      <c r="C3" s="29" t="inlineStr">
        <is>
          <t>Overall day-of point of contact; coordinates venue, catering, and AV</t>
        </is>
      </c>
      <c r="D3" s="30" t="n"/>
    </row>
    <row r="4" ht="26" customHeight="1">
      <c r="A4" s="7" t="inlineStr">
        <is>
          <t>Registration Desk</t>
        </is>
      </c>
      <c r="B4" s="28" t="n">
        <v>2</v>
      </c>
      <c r="C4" s="29" t="inlineStr">
        <is>
          <t>Check in attendees, distribute name tags and materials</t>
        </is>
      </c>
      <c r="D4" s="30" t="n"/>
    </row>
    <row r="5" ht="26" customHeight="1">
      <c r="A5" s="7" t="inlineStr">
        <is>
          <t>AV/IT Support</t>
        </is>
      </c>
      <c r="B5" s="28" t="n">
        <v>1</v>
      </c>
      <c r="C5" s="29" t="inlineStr">
        <is>
          <t>Manage presentation, videoconferencing, and technical troubleshooting</t>
        </is>
      </c>
      <c r="D5" s="30" t="n"/>
    </row>
    <row r="6" ht="26" customHeight="1">
      <c r="A6" s="7" t="inlineStr">
        <is>
          <t>Moderator</t>
        </is>
      </c>
      <c r="B6" s="28" t="n">
        <v>1</v>
      </c>
      <c r="C6" s="29" t="inlineStr">
        <is>
          <t>Runs the agenda, introduces speakers, keeps sessions on time</t>
        </is>
      </c>
      <c r="D6" s="30" t="n"/>
    </row>
    <row r="7" ht="26" customHeight="1">
      <c r="A7" s="7" t="inlineStr">
        <is>
          <t>Time Keeper / Mic Runner</t>
        </is>
      </c>
      <c r="B7" s="28" t="n">
        <v>1</v>
      </c>
      <c r="C7" s="29" t="inlineStr">
        <is>
          <t>Signals time remaining to speakers; runs mic during Q&amp;A</t>
        </is>
      </c>
      <c r="D7" s="30" t="n"/>
    </row>
    <row r="8" ht="26" customHeight="1">
      <c r="A8" s="7" t="inlineStr">
        <is>
          <t>Slide Assistant</t>
        </is>
      </c>
      <c r="B8" s="28" t="n">
        <v>1</v>
      </c>
      <c r="C8" s="29" t="inlineStr">
        <is>
          <t>Advances slides and cues transitions for presenters</t>
        </is>
      </c>
      <c r="D8" s="30" t="n"/>
    </row>
    <row r="9" ht="26" customHeight="1">
      <c r="A9" s="7" t="inlineStr">
        <is>
          <t>Note Taker</t>
        </is>
      </c>
      <c r="B9" s="28" t="n">
        <v>1</v>
      </c>
      <c r="C9" s="29" t="inlineStr">
        <is>
          <t>Captures key discussion points for the post-event summary</t>
        </is>
      </c>
      <c r="D9" s="30" t="n"/>
    </row>
    <row r="10" ht="26" customHeight="1">
      <c r="A10" s="7" t="inlineStr">
        <is>
          <t>Attendee Flow / Elevator Coordinator</t>
        </is>
      </c>
      <c r="B10" s="28" t="n">
        <v>1</v>
      </c>
      <c r="C10" s="29" t="inlineStr">
        <is>
          <t>Directs attendees from entrance/elevator to event space</t>
        </is>
      </c>
      <c r="D10" s="30" t="n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</cols>
  <sheetData>
    <row r="1" ht="24" customHeight="1">
      <c r="A1" s="1" t="inlineStr">
        <is>
          <t>Reference – Links &amp; Notes</t>
        </is>
      </c>
      <c r="B1" s="2" t="n"/>
      <c r="C1" s="2" t="n"/>
    </row>
    <row r="2">
      <c r="A2" s="11" t="inlineStr">
        <is>
          <t>Activity</t>
        </is>
      </c>
      <c r="B2" s="11" t="inlineStr">
        <is>
          <t>Link / Resource</t>
        </is>
      </c>
      <c r="C2" s="11" t="inlineStr">
        <is>
          <t>Notes</t>
        </is>
      </c>
    </row>
    <row r="3" ht="26" customHeight="1">
      <c r="A3" s="29" t="inlineStr">
        <is>
          <t>Register external guests</t>
        </is>
      </c>
      <c r="B3" s="31" t="inlineStr">
        <is>
          <t>[Internal registration/ServiceNow link]</t>
        </is>
      </c>
      <c r="C3" s="29" t="inlineStr"/>
    </row>
    <row r="4" ht="26" customHeight="1">
      <c r="A4" s="29" t="inlineStr">
        <is>
          <t>AV / videoconferencing support</t>
        </is>
      </c>
      <c r="B4" s="31" t="inlineStr">
        <is>
          <t>[Internal IT support request link]</t>
        </is>
      </c>
      <c r="C4" s="29" t="inlineStr">
        <is>
          <t>Confirm needs at least 1 week before the Forum</t>
        </is>
      </c>
    </row>
    <row r="5" ht="26" customHeight="1">
      <c r="A5" s="29" t="inlineStr">
        <is>
          <t>Print name tags</t>
        </is>
      </c>
      <c r="B5" s="31" t="inlineStr">
        <is>
          <t>[Internal print-service request link]</t>
        </is>
      </c>
      <c r="C5" s="29" t="inlineStr">
        <is>
          <t>[Contact / lead-time note]</t>
        </is>
      </c>
    </row>
    <row r="6" ht="26" customHeight="1">
      <c r="A6" s="29" t="inlineStr">
        <is>
          <t>Order lanyards, badge holders, name trays</t>
        </is>
      </c>
      <c r="B6" s="31" t="inlineStr">
        <is>
          <t>[Internal supplies request link]</t>
        </is>
      </c>
      <c r="C6" s="29" t="inlineStr">
        <is>
          <t>Each name tray typically holds ~50 tags — confirm quantity</t>
        </is>
      </c>
    </row>
    <row r="7" ht="26" customHeight="1">
      <c r="A7" s="29" t="inlineStr">
        <is>
          <t>GLG survey fielding platform</t>
        </is>
      </c>
      <c r="B7" s="31" t="inlineStr">
        <is>
          <t>[GLG project/portal link]</t>
        </is>
      </c>
      <c r="C7" s="29" t="inlineStr">
        <is>
          <t>Primary channel for survey fielding status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2026-08-25T14:11:21Z</dcterms:created>
  <dcterms:modified xmlns:dcterms="http://purl.org/dc/terms/" xmlns:xsi="http://www.w3.org/2001/XMLSchema-instance" xsi:type="dcterms:W3CDTF">2026-08-25T14:11:21Z</dcterms:modified>
</cp:coreProperties>
</file>