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avlin\Downloads\"/>
    </mc:Choice>
  </mc:AlternateContent>
  <xr:revisionPtr revIDLastSave="0" documentId="8_{D3558223-B107-4C90-BFCE-919D6229A3E9}" xr6:coauthVersionLast="47" xr6:coauthVersionMax="47" xr10:uidLastSave="{00000000-0000-0000-0000-000000000000}"/>
  <bookViews>
    <workbookView xWindow="-108" yWindow="-108" windowWidth="23256" windowHeight="13896" firstSheet="4" activeTab="4" xr2:uid="{00000000-000D-0000-FFFF-FFFF00000000}"/>
  </bookViews>
  <sheets>
    <sheet name="How to use" sheetId="5" r:id="rId1"/>
    <sheet name="Dashboard" sheetId="1" r:id="rId2"/>
    <sheet name="Gantt Chart" sheetId="8" r:id="rId3"/>
    <sheet name="ACTIVITIES NEW" sheetId="11" r:id="rId4"/>
    <sheet name="Activities (2)" sheetId="12" r:id="rId5"/>
    <sheet name="Team Coordination" sheetId="6" r:id="rId6"/>
    <sheet name="OLD Activities" sheetId="2" r:id="rId7"/>
    <sheet name="Activities" sheetId="9" r:id="rId8"/>
    <sheet name="OLD Activities (2)" sheetId="7" r:id="rId9"/>
    <sheet name="Reference" sheetId="3" r:id="rId10"/>
  </sheets>
  <definedNames>
    <definedName name="_xlnm._FilterDatabase" localSheetId="7" hidden="1">Activities!$A$1:$N$50</definedName>
    <definedName name="_xlnm._FilterDatabase" localSheetId="4" hidden="1">'Activities (2)'!$A$1:$N$48</definedName>
    <definedName name="_xlnm._FilterDatabase" localSheetId="3" hidden="1">'ACTIVITIES NEW'!$A$1:$M$75</definedName>
    <definedName name="_xlnm._FilterDatabase" localSheetId="6" hidden="1">'OLD Activities'!$A$1:$M$46</definedName>
    <definedName name="_xlnm._FilterDatabase" localSheetId="8" hidden="1">'OLD Activities (2)'!$A$1:$N$48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1" l="1"/>
  <c r="A3"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B62" i="11"/>
  <c r="B61" i="11"/>
  <c r="J48" i="12"/>
  <c r="B48" i="12"/>
  <c r="J47" i="12"/>
  <c r="B47" i="12"/>
  <c r="J46" i="12"/>
  <c r="B46" i="12"/>
  <c r="J45" i="12"/>
  <c r="B45" i="12"/>
  <c r="J44" i="12"/>
  <c r="B44" i="12"/>
  <c r="B43" i="12"/>
  <c r="J42" i="12"/>
  <c r="B42" i="12"/>
  <c r="J41" i="12"/>
  <c r="J40" i="12"/>
  <c r="J39" i="12"/>
  <c r="J38" i="12"/>
  <c r="J37" i="12"/>
  <c r="J36" i="12"/>
  <c r="J35" i="12"/>
  <c r="J34" i="12"/>
  <c r="J33" i="12"/>
  <c r="J32" i="12"/>
  <c r="J31" i="12"/>
  <c r="J30" i="12"/>
  <c r="B30" i="12"/>
  <c r="J29" i="12"/>
  <c r="B29" i="12"/>
  <c r="J28" i="12"/>
  <c r="B28" i="12"/>
  <c r="J26" i="12"/>
  <c r="J25" i="12"/>
  <c r="B25" i="12"/>
  <c r="J24" i="12"/>
  <c r="B24" i="12"/>
  <c r="J23" i="12"/>
  <c r="B23" i="12"/>
  <c r="B22" i="12"/>
  <c r="J21" i="12"/>
  <c r="B21" i="12"/>
  <c r="J20" i="12"/>
  <c r="J19" i="12"/>
  <c r="J18" i="12"/>
  <c r="J17" i="12"/>
  <c r="B17" i="12"/>
  <c r="J16" i="12"/>
  <c r="J15" i="12"/>
  <c r="J14" i="12"/>
  <c r="J13" i="12"/>
  <c r="J12" i="12"/>
  <c r="B12" i="12"/>
  <c r="J11" i="12"/>
  <c r="B11" i="12"/>
  <c r="J10" i="12"/>
  <c r="B10" i="12"/>
  <c r="J9" i="12"/>
  <c r="B9" i="12"/>
  <c r="J8" i="12"/>
  <c r="B8" i="12"/>
  <c r="J7" i="12"/>
  <c r="B7" i="12"/>
  <c r="J6" i="12"/>
  <c r="B6" i="12"/>
  <c r="J5" i="12"/>
  <c r="J4" i="12"/>
  <c r="J50" i="9"/>
  <c r="B50" i="9"/>
  <c r="J49" i="9"/>
  <c r="B49" i="9"/>
  <c r="J48" i="9"/>
  <c r="B48" i="9"/>
  <c r="J47" i="9"/>
  <c r="B47" i="9"/>
  <c r="J46" i="9"/>
  <c r="B46" i="9"/>
  <c r="B45" i="9"/>
  <c r="J44" i="9"/>
  <c r="B44" i="9"/>
  <c r="J43" i="9"/>
  <c r="J42" i="9"/>
  <c r="J41" i="9"/>
  <c r="J40" i="9"/>
  <c r="J39" i="9"/>
  <c r="J38" i="9"/>
  <c r="J37" i="9"/>
  <c r="J36" i="9"/>
  <c r="J35" i="9"/>
  <c r="J34" i="9"/>
  <c r="J33" i="9"/>
  <c r="J32" i="9"/>
  <c r="B32" i="9"/>
  <c r="J31" i="9"/>
  <c r="B31" i="9"/>
  <c r="J30" i="9"/>
  <c r="B30" i="9"/>
  <c r="J28" i="9"/>
  <c r="J27" i="9"/>
  <c r="B27" i="9"/>
  <c r="J26" i="9"/>
  <c r="B26" i="9"/>
  <c r="J25" i="9"/>
  <c r="B25" i="9"/>
  <c r="B24" i="9"/>
  <c r="J23" i="9"/>
  <c r="B23" i="9"/>
  <c r="J22" i="9"/>
  <c r="J21" i="9"/>
  <c r="J20" i="9"/>
  <c r="J19" i="9"/>
  <c r="B19" i="9"/>
  <c r="J18" i="9"/>
  <c r="J17" i="9"/>
  <c r="J16" i="9"/>
  <c r="J15" i="9"/>
  <c r="J14" i="9"/>
  <c r="B14" i="9"/>
  <c r="J13" i="9"/>
  <c r="B13" i="9"/>
  <c r="J12" i="9"/>
  <c r="B12" i="9"/>
  <c r="J11" i="9"/>
  <c r="B11" i="9"/>
  <c r="J10" i="9"/>
  <c r="B10" i="9"/>
  <c r="J9" i="9"/>
  <c r="B9" i="9"/>
  <c r="J8" i="9"/>
  <c r="B8" i="9"/>
  <c r="J7" i="9"/>
  <c r="J6" i="9"/>
  <c r="B43" i="7" l="1"/>
  <c r="B11" i="7"/>
  <c r="J48" i="7"/>
  <c r="B48" i="7"/>
  <c r="J47" i="7"/>
  <c r="B47" i="7"/>
  <c r="J46" i="7"/>
  <c r="B46" i="7"/>
  <c r="J45" i="7"/>
  <c r="B45" i="7"/>
  <c r="J44" i="7"/>
  <c r="B44" i="7"/>
  <c r="J42" i="7"/>
  <c r="B42" i="7"/>
  <c r="J41" i="7"/>
  <c r="J40" i="7"/>
  <c r="J39" i="7"/>
  <c r="J38" i="7"/>
  <c r="J37" i="7"/>
  <c r="J36" i="7"/>
  <c r="J35" i="7"/>
  <c r="J34" i="7"/>
  <c r="J33" i="7"/>
  <c r="J32" i="7"/>
  <c r="J31" i="7"/>
  <c r="J30" i="7"/>
  <c r="B30" i="7"/>
  <c r="J29" i="7"/>
  <c r="B29" i="7"/>
  <c r="J28" i="7"/>
  <c r="B28" i="7"/>
  <c r="J26" i="7"/>
  <c r="J25" i="7"/>
  <c r="B25" i="7"/>
  <c r="J24" i="7"/>
  <c r="B24" i="7"/>
  <c r="J23" i="7"/>
  <c r="B23" i="7"/>
  <c r="B22" i="7"/>
  <c r="J21" i="7"/>
  <c r="B21" i="7"/>
  <c r="J20" i="7"/>
  <c r="J19" i="7"/>
  <c r="J18" i="7"/>
  <c r="J17" i="7"/>
  <c r="B17" i="7"/>
  <c r="J16" i="7"/>
  <c r="J15" i="7"/>
  <c r="J14" i="7"/>
  <c r="J13" i="7"/>
  <c r="J12" i="7"/>
  <c r="B12" i="7"/>
  <c r="J11" i="7"/>
  <c r="J10" i="7"/>
  <c r="B10" i="7"/>
  <c r="J9" i="7"/>
  <c r="B9" i="7"/>
  <c r="J8" i="7"/>
  <c r="B8" i="7"/>
  <c r="J7" i="7"/>
  <c r="B7" i="7"/>
  <c r="J6" i="7"/>
  <c r="B6" i="7"/>
  <c r="J5" i="7"/>
  <c r="J4" i="7"/>
  <c r="B22" i="2"/>
  <c r="I12" i="2"/>
  <c r="I13" i="2"/>
  <c r="I14" i="2"/>
  <c r="I15" i="2"/>
  <c r="I16" i="2"/>
  <c r="I17" i="2"/>
  <c r="I18" i="2"/>
  <c r="I19" i="2"/>
  <c r="I20" i="2"/>
  <c r="I21" i="2"/>
  <c r="I23" i="2"/>
  <c r="I24" i="2"/>
  <c r="I25" i="2"/>
  <c r="I26" i="2"/>
  <c r="I27" i="2"/>
  <c r="I28" i="2"/>
  <c r="I29" i="2"/>
  <c r="I30" i="2"/>
  <c r="I31" i="2"/>
  <c r="I32" i="2"/>
  <c r="I33" i="2"/>
  <c r="I34" i="2"/>
  <c r="I35" i="2"/>
  <c r="I36" i="2"/>
  <c r="I37" i="2"/>
  <c r="I38" i="2"/>
  <c r="I39" i="2"/>
  <c r="I40" i="2"/>
  <c r="I41" i="2"/>
  <c r="I42" i="2"/>
  <c r="I43" i="2"/>
  <c r="I45" i="2"/>
  <c r="I44" i="2"/>
  <c r="I46" i="2"/>
  <c r="B27" i="2"/>
  <c r="B26" i="2"/>
  <c r="B36" i="2"/>
  <c r="B16" i="2"/>
  <c r="B15" i="2"/>
  <c r="B14" i="2"/>
  <c r="B12" i="2"/>
  <c r="I4" i="2"/>
  <c r="I6" i="2"/>
  <c r="I5" i="2"/>
  <c r="I7" i="2"/>
  <c r="I8" i="2"/>
  <c r="I9" i="2"/>
  <c r="I10" i="2"/>
  <c r="I11" i="2"/>
  <c r="B45" i="2" l="1"/>
  <c r="B44" i="2"/>
  <c r="B46" i="2"/>
  <c r="B43" i="2"/>
  <c r="B38" i="2"/>
  <c r="B39" i="2"/>
  <c r="B40" i="2"/>
  <c r="B41" i="2"/>
  <c r="B42" i="2"/>
  <c r="B37" i="2"/>
  <c r="B29" i="2"/>
  <c r="B30" i="2"/>
  <c r="B31" i="2"/>
  <c r="B32" i="2"/>
  <c r="B33" i="2"/>
  <c r="B34" i="2"/>
  <c r="B35" i="2"/>
  <c r="B28" i="2"/>
  <c r="B20" i="2"/>
  <c r="B21" i="2"/>
  <c r="B23" i="2"/>
  <c r="B24" i="2"/>
  <c r="B25" i="2"/>
  <c r="B19" i="2"/>
  <c r="B13" i="2"/>
  <c r="B17" i="2"/>
  <c r="B18" i="2"/>
  <c r="B11" i="2"/>
  <c r="B6" i="2"/>
  <c r="B5" i="2"/>
  <c r="B7" i="2"/>
  <c r="B8" i="2"/>
  <c r="B9" i="2"/>
  <c r="B10" i="2"/>
  <c r="B4" i="2"/>
  <c r="A6" i="1"/>
  <c r="B27" i="1"/>
  <c r="C27" i="1"/>
  <c r="D27" i="1"/>
  <c r="B28" i="1"/>
  <c r="C28" i="1"/>
  <c r="D28" i="1"/>
  <c r="B29" i="1"/>
  <c r="C29" i="1"/>
  <c r="D29" i="1"/>
  <c r="C21" i="1"/>
  <c r="C22" i="1"/>
  <c r="C23" i="1"/>
  <c r="C24" i="1"/>
  <c r="C25" i="1"/>
  <c r="C26" i="1"/>
  <c r="C20" i="1"/>
  <c r="B21" i="1"/>
  <c r="B22" i="1"/>
  <c r="B23" i="1"/>
  <c r="B24" i="1"/>
  <c r="B25" i="1"/>
  <c r="B26" i="1"/>
  <c r="B20" i="1"/>
  <c r="D21" i="1"/>
  <c r="D22" i="1"/>
  <c r="D23" i="1"/>
  <c r="D24" i="1"/>
  <c r="D25" i="1"/>
  <c r="D26" i="1"/>
  <c r="D20" i="1"/>
  <c r="C11" i="1" l="1"/>
  <c r="B11" i="1"/>
  <c r="B3" i="1" l="1"/>
  <c r="C6" i="1"/>
  <c r="E6" i="1" s="1"/>
  <c r="C16" i="1"/>
  <c r="B16" i="1"/>
  <c r="C15" i="1"/>
  <c r="B15" i="1"/>
  <c r="C14" i="1"/>
  <c r="B14" i="1"/>
  <c r="C13" i="1"/>
  <c r="B13" i="1"/>
  <c r="C12" i="1"/>
  <c r="B12" i="1"/>
  <c r="B9" i="1" l="1"/>
  <c r="D15" i="1"/>
  <c r="D12" i="1"/>
  <c r="D16" i="1"/>
  <c r="D14" i="1"/>
  <c r="D11" i="1"/>
  <c r="D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tc={2F4411D1-A55F-4C80-9488-C62149711201}</author>
    <author>tc={223033AF-5018-4FE0-B830-441327ED9EAB}</author>
  </authors>
  <commentList>
    <comment ref="G2" authorId="0" shapeId="0" xr:uid="{2F4411D1-A55F-4C80-9488-C62149711201}">
      <text>
        <t>[Threaded comment]
Your version of Excel allows you to read this threaded comment; however, any edits to it will get removed if the file is opened in a newer version of Excel. Learn more: https://go.microsoft.com/fwlink/?linkid=870924
Comment:
    include start date, end date, duration, actual end date columns
Reply:
    Included</t>
      </text>
    </comment>
    <comment ref="M2" authorId="1" shapeId="0" xr:uid="{223033AF-5018-4FE0-B830-441327ED9EAB}">
      <text>
        <t xml:space="preserve">[Threaded comment]
Your version of Excel allows you to read this threaded comment; however, any edits to it will get removed if the file is opened in a newer version of Excel. Learn more: https://go.microsoft.com/fwlink/?linkid=870924
Comment:
    How do we note the dependencies?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tc={51723014-CFF9-4581-BE97-6BFAA7940932}</author>
    <author>tc={4D71F3F0-6CD8-4C53-A41D-295F1613CF49}</author>
    <author>tc={BD70E8F1-831C-49CB-88ED-3BF47F49E618}</author>
    <author>tc={7317B3B5-CE5D-4F0A-BB27-7A0EB30B67D9}</author>
    <author>tc={DA213138-87C2-4A3B-94EF-B93F8B4A53F0}</author>
  </authors>
  <commentList>
    <comment ref="H2" authorId="0" shapeId="0" xr:uid="{51723014-CFF9-4581-BE97-6BFAA7940932}">
      <text>
        <t>[Threaded comment]
Your version of Excel allows you to read this threaded comment; however, any edits to it will get removed if the file is opened in a newer version of Excel. Learn more: https://go.microsoft.com/fwlink/?linkid=870924
Comment:
    include start date, end date, duration, actual end date columns
Reply:
    Included</t>
      </text>
    </comment>
    <comment ref="N2" authorId="1" shapeId="0" xr:uid="{4D71F3F0-6CD8-4C53-A41D-295F1613CF49}">
      <text>
        <t xml:space="preserve">[Threaded comment]
Your version of Excel allows you to read this threaded comment; however, any edits to it will get removed if the file is opened in a newer version of Excel. Learn more: https://go.microsoft.com/fwlink/?linkid=870924
Comment:
    How do we note the dependencies? </t>
      </text>
    </comment>
    <comment ref="E4" authorId="2" shapeId="0" xr:uid="{BD70E8F1-831C-49CB-88ED-3BF47F49E618}">
      <text>
        <t xml:space="preserve">[Threaded comment]
Your version of Excel allows you to read this threaded comment; however, any edits to it will get removed if the file is opened in a newer version of Excel. Learn more: https://go.microsoft.com/fwlink/?linkid=870924
Comment:
    Part of this exercise is to show how far out we need to conduct the planning. how can we show that? for instance, it almost looks like i can run this at the same time as the event or at worst a week before? </t>
      </text>
    </comment>
    <comment ref="E11" authorId="3" shapeId="0" xr:uid="{7317B3B5-CE5D-4F0A-BB27-7A0EB30B67D9}">
      <text>
        <t>[Threaded comment]
Your version of Excel allows you to read this threaded comment; however, any edits to it will get removed if the file is opened in a newer version of Excel. Learn more: https://go.microsoft.com/fwlink/?linkid=870924
Comment:
    This one should be separated- there is an internal coordination effort and if applicable, an external attendee coordination with the vendor
Reply:
    Separated into internal attendee coordination and external attendee coordination(if applicable)</t>
      </text>
    </comment>
    <comment ref="C36" authorId="4" shapeId="0" xr:uid="{DA213138-87C2-4A3B-94EF-B93F8B4A53F0}">
      <text>
        <t>[Threaded comment]
Your version of Excel allows you to read this threaded comment; however, any edits to it will get removed if the file is opened in a newer version of Excel. Learn more: https://go.microsoft.com/fwlink/?linkid=870924
Comment:
    does this include review / approval cycles with leaders? 
Reply:
    I will break it down into 1)draft ‘thank you’ email 2) review and approval of ‘thank you’ email 3) send ‘thank you’ email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tc={259952C7-0911-4FA9-9FC6-1F6EAD16936D}</author>
    <author>tc={03FE6203-9D4E-4A97-A8EC-0EFAE23AEAE5}</author>
    <author>tc={839BDF96-A89F-4DD8-A591-9534A6AE8811}</author>
    <author>tc={9C75B7AC-C207-463E-9154-D5D5974CA54B}</author>
    <author>tc={4A128112-359C-4AA7-8698-8550703EA480}</author>
  </authors>
  <commentList>
    <comment ref="G2" authorId="0" shapeId="0" xr:uid="{259952C7-0911-4FA9-9FC6-1F6EAD16936D}">
      <text>
        <t>[Threaded comment]
Your version of Excel allows you to read this threaded comment; however, any edits to it will get removed if the file is opened in a newer version of Excel. Learn more: https://go.microsoft.com/fwlink/?linkid=870924
Comment:
    include start date, end date, duration, actual end date columns
Reply:
    Included</t>
      </text>
    </comment>
    <comment ref="M2" authorId="1" shapeId="0" xr:uid="{03FE6203-9D4E-4A97-A8EC-0EFAE23AEAE5}">
      <text>
        <t xml:space="preserve">[Threaded comment]
Your version of Excel allows you to read this threaded comment; however, any edits to it will get removed if the file is opened in a newer version of Excel. Learn more: https://go.microsoft.com/fwlink/?linkid=870924
Comment:
    How do we note the dependencies? </t>
      </text>
    </comment>
    <comment ref="D4" authorId="2" shapeId="0" xr:uid="{839BDF96-A89F-4DD8-A591-9534A6AE8811}">
      <text>
        <t xml:space="preserve">[Threaded comment]
Your version of Excel allows you to read this threaded comment; however, any edits to it will get removed if the file is opened in a newer version of Excel. Learn more: https://go.microsoft.com/fwlink/?linkid=870924
Comment:
    Part of this exercise is to show how far out we need to conduct the planning. how can we show that? for instance, it almost looks like i can run this at the same time as the event or at worst a week before? </t>
      </text>
    </comment>
    <comment ref="D11" authorId="3" shapeId="0" xr:uid="{9C75B7AC-C207-463E-9154-D5D5974CA54B}">
      <text>
        <t>[Threaded comment]
Your version of Excel allows you to read this threaded comment; however, any edits to it will get removed if the file is opened in a newer version of Excel. Learn more: https://go.microsoft.com/fwlink/?linkid=870924
Comment:
    This one should be separated- there is an internal coordination effort and if applicable, an external attendee coordination with the vendor
Reply:
    Separated into internal attendee coordination and external attendee coordination(if applicable)</t>
      </text>
    </comment>
    <comment ref="C35" authorId="4" shapeId="0" xr:uid="{4A128112-359C-4AA7-8698-8550703EA480}">
      <text>
        <t>[Threaded comment]
Your version of Excel allows you to read this threaded comment; however, any edits to it will get removed if the file is opened in a newer version of Excel. Learn more: https://go.microsoft.com/fwlink/?linkid=870924
Comment:
    does this include review / approval cycles with leaders? 
Reply:
    I will break it down into 1)draft ‘thank you’ email 2) review and approval of ‘thank you’ email 3) send ‘thank you’ email</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tc={D377C81A-BDD8-4B46-B106-8E0FC818F1F3}</author>
    <author>tc={38762B62-4EB5-4601-9EA0-4094AF253893}</author>
    <author>tc={3CCE8257-21E2-42CC-B9DE-8EFEB879A9BB}</author>
    <author>tc={25DB9EB3-6F1C-4618-B36A-5E8B97932285}</author>
    <author>tc={A290737B-AEA8-4B99-8990-4ABD6F6002C8}</author>
  </authors>
  <commentList>
    <comment ref="H2" authorId="0" shapeId="0" xr:uid="{D377C81A-BDD8-4B46-B106-8E0FC818F1F3}">
      <text>
        <t>[Threaded comment]
Your version of Excel allows you to read this threaded comment; however, any edits to it will get removed if the file is opened in a newer version of Excel. Learn more: https://go.microsoft.com/fwlink/?linkid=870924
Comment:
    include start date, end date, duration, actual end date columns
Reply:
    Included</t>
      </text>
    </comment>
    <comment ref="N2" authorId="1" shapeId="0" xr:uid="{38762B62-4EB5-4601-9EA0-4094AF253893}">
      <text>
        <t xml:space="preserve">[Threaded comment]
Your version of Excel allows you to read this threaded comment; however, any edits to it will get removed if the file is opened in a newer version of Excel. Learn more: https://go.microsoft.com/fwlink/?linkid=870924
Comment:
    How do we note the dependencies? </t>
      </text>
    </comment>
    <comment ref="E6" authorId="2" shapeId="0" xr:uid="{3CCE8257-21E2-42CC-B9DE-8EFEB879A9BB}">
      <text>
        <t xml:space="preserve">[Threaded comment]
Your version of Excel allows you to read this threaded comment; however, any edits to it will get removed if the file is opened in a newer version of Excel. Learn more: https://go.microsoft.com/fwlink/?linkid=870924
Comment:
    Part of this exercise is to show how far out we need to conduct the planning. how can we show that? for instance, it almost looks like i can run this at the same time as the event or at worst a week before? </t>
      </text>
    </comment>
    <comment ref="E13" authorId="3" shapeId="0" xr:uid="{25DB9EB3-6F1C-4618-B36A-5E8B97932285}">
      <text>
        <t>[Threaded comment]
Your version of Excel allows you to read this threaded comment; however, any edits to it will get removed if the file is opened in a newer version of Excel. Learn more: https://go.microsoft.com/fwlink/?linkid=870924
Comment:
    This one should be separated- there is an internal coordination effort and if applicable, an external attendee coordination with the vendor
Reply:
    Separated into internal attendee coordination and external attendee coordination(if applicable)</t>
      </text>
    </comment>
    <comment ref="C38" authorId="4" shapeId="0" xr:uid="{A290737B-AEA8-4B99-8990-4ABD6F6002C8}">
      <text>
        <t>[Threaded comment]
Your version of Excel allows you to read this threaded comment; however, any edits to it will get removed if the file is opened in a newer version of Excel. Learn more: https://go.microsoft.com/fwlink/?linkid=870924
Comment:
    does this include review / approval cycles with leaders? 
Reply:
    I will break it down into 1)draft ‘thank you’ email 2) review and approval of ‘thank you’ email 3) send ‘thank you’ email</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tc={487E6B1E-A95D-443F-B955-650DE4D6B214}</author>
    <author>tc={0E09DD2E-3309-4377-A9FE-EBC012308734}</author>
    <author>tc={58C1E4BA-CBE0-4B23-9FD3-B88C281E2642}</author>
    <author>tc={EA73046C-F86D-4E06-9B98-03148813F166}</author>
    <author>tc={B08C6409-8457-43BD-B4D5-B6E4793DE7FF}</author>
  </authors>
  <commentList>
    <comment ref="H2" authorId="0" shapeId="0" xr:uid="{487E6B1E-A95D-443F-B955-650DE4D6B214}">
      <text>
        <t>[Threaded comment]
Your version of Excel allows you to read this threaded comment; however, any edits to it will get removed if the file is opened in a newer version of Excel. Learn more: https://go.microsoft.com/fwlink/?linkid=870924
Comment:
    include start date, end date, duration, actual end date columns
Reply:
    Included</t>
      </text>
    </comment>
    <comment ref="N2" authorId="1" shapeId="0" xr:uid="{0E09DD2E-3309-4377-A9FE-EBC012308734}">
      <text>
        <t xml:space="preserve">[Threaded comment]
Your version of Excel allows you to read this threaded comment; however, any edits to it will get removed if the file is opened in a newer version of Excel. Learn more: https://go.microsoft.com/fwlink/?linkid=870924
Comment:
    How do we note the dependencies? </t>
      </text>
    </comment>
    <comment ref="E4" authorId="2" shapeId="0" xr:uid="{58C1E4BA-CBE0-4B23-9FD3-B88C281E2642}">
      <text>
        <t xml:space="preserve">[Threaded comment]
Your version of Excel allows you to read this threaded comment; however, any edits to it will get removed if the file is opened in a newer version of Excel. Learn more: https://go.microsoft.com/fwlink/?linkid=870924
Comment:
    Part of this exercise is to show how far out we need to conduct the planning. how can we show that? for instance, it almost looks like i can run this at the same time as the event or at worst a week before? </t>
      </text>
    </comment>
    <comment ref="E11" authorId="3" shapeId="0" xr:uid="{EA73046C-F86D-4E06-9B98-03148813F166}">
      <text>
        <t>[Threaded comment]
Your version of Excel allows you to read this threaded comment; however, any edits to it will get removed if the file is opened in a newer version of Excel. Learn more: https://go.microsoft.com/fwlink/?linkid=870924
Comment:
    This one should be separated- there is an internal coordination effort and if applicable, an external attendee coordination with the vendor
Reply:
    Separated into internal attendee coordination and external attendee coordination(if applicable)</t>
      </text>
    </comment>
    <comment ref="C36" authorId="4" shapeId="0" xr:uid="{B08C6409-8457-43BD-B4D5-B6E4793DE7FF}">
      <text>
        <t>[Threaded comment]
Your version of Excel allows you to read this threaded comment; however, any edits to it will get removed if the file is opened in a newer version of Excel. Learn more: https://go.microsoft.com/fwlink/?linkid=870924
Comment:
    does this include review / approval cycles with leaders? 
Reply:
    I will break it down into 1)draft ‘thank you’ email 2) review and approval of ‘thank you’ email 3) send ‘thank you’ email</t>
      </text>
    </comment>
  </commentList>
</comments>
</file>

<file path=xl/sharedStrings.xml><?xml version="1.0" encoding="utf-8"?>
<sst xmlns="http://schemas.openxmlformats.org/spreadsheetml/2006/main" count="1075" uniqueCount="366">
  <si>
    <t>How to use</t>
  </si>
  <si>
    <t>Dashboard' tab</t>
  </si>
  <si>
    <t>The dashboard provides a high-level summary of all activities from the Activities tab. It displays:
Total number of activities
Number of completed and outstanding tasks
Progress by workstream
Outstanding tasks by owner
Use the dashboard to quickly understand overall event readiness and identify areas that require attention.</t>
  </si>
  <si>
    <t>Activities' tab</t>
  </si>
  <si>
    <t>Terms</t>
  </si>
  <si>
    <t>Description</t>
  </si>
  <si>
    <t>Activities</t>
  </si>
  <si>
    <t>The full list of tasks required to plan and execute the event</t>
  </si>
  <si>
    <t>Workstream</t>
  </si>
  <si>
    <t>Grouping of related activities by phase of the event (e.g., Pre-Event Planning, Logistics, Day-of)</t>
  </si>
  <si>
    <t>Activity</t>
  </si>
  <si>
    <t>A specific task that needs to be completed within a workstream</t>
  </si>
  <si>
    <t>What "Done" looks like</t>
  </si>
  <si>
    <t>Clear definition of what successful completion of the activity looks like</t>
  </si>
  <si>
    <t>Due Date</t>
  </si>
  <si>
    <t>The deadline by which the activity should be completed</t>
  </si>
  <si>
    <t>Ownership</t>
  </si>
  <si>
    <t>The assigned individual responsible for completing the activity. Update 'Dashboard' tab cells 20–29 to ensure owners are correctly linked</t>
  </si>
  <si>
    <t>Status</t>
  </si>
  <si>
    <t>When activity has been completed, indicate as complete</t>
  </si>
  <si>
    <t>Event Workback Plan Dashboard</t>
  </si>
  <si>
    <t>Event Date:</t>
  </si>
  <si>
    <t>Event Countdown</t>
  </si>
  <si>
    <t>Total Tasks</t>
  </si>
  <si>
    <t>Completed Tasks</t>
  </si>
  <si>
    <t>Outstanding Tasks</t>
  </si>
  <si>
    <t>Workstream Summary</t>
  </si>
  <si>
    <t>Total Activities</t>
  </si>
  <si>
    <t>Completed Activities</t>
  </si>
  <si>
    <t>Outstanding Activities</t>
  </si>
  <si>
    <t>Pre-Event Planning</t>
  </si>
  <si>
    <t>Outreach &amp; Registration</t>
  </si>
  <si>
    <t>Pre-Event Logistics</t>
  </si>
  <si>
    <t>1 Week Prior Event Planning</t>
  </si>
  <si>
    <t>Day-of Event Execution</t>
  </si>
  <si>
    <t>Post-Event Follow-Up</t>
  </si>
  <si>
    <t>Outstanding Tasks by Owner</t>
  </si>
  <si>
    <t>Owner</t>
  </si>
  <si>
    <t>Owner 1</t>
  </si>
  <si>
    <t>Owner 2</t>
  </si>
  <si>
    <t>Owner 3</t>
  </si>
  <si>
    <t>Owner 4</t>
  </si>
  <si>
    <t>Owner 5</t>
  </si>
  <si>
    <t>Owner 6</t>
  </si>
  <si>
    <t>Owner 7</t>
  </si>
  <si>
    <t>Owner 8</t>
  </si>
  <si>
    <t>Owner 9</t>
  </si>
  <si>
    <t>Owner 10</t>
  </si>
  <si>
    <t>10 Weeks</t>
  </si>
  <si>
    <t>4 weeks</t>
  </si>
  <si>
    <t>Agenda</t>
  </si>
  <si>
    <t>Event Workback Plan</t>
  </si>
  <si>
    <t>Action</t>
  </si>
  <si>
    <r>
      <t xml:space="preserve">Activity </t>
    </r>
    <r>
      <rPr>
        <b/>
        <sz val="11"/>
        <color rgb="FFFF0000"/>
        <rFont val="Aptos Narrow"/>
        <family val="2"/>
        <scheme val="minor"/>
      </rPr>
      <t>(START WITH VERB)</t>
    </r>
  </si>
  <si>
    <t>What "Done" Looks Like</t>
  </si>
  <si>
    <t>Dependencies</t>
  </si>
  <si>
    <t>Estimated Time Taken (Start to Finish: ~10 weeks)</t>
  </si>
  <si>
    <r>
      <t xml:space="preserve">Start Date
</t>
    </r>
    <r>
      <rPr>
        <sz val="11"/>
        <rFont val="Aptos Narrow"/>
        <family val="2"/>
        <scheme val="minor"/>
      </rPr>
      <t xml:space="preserve"> (year-mm-dd)</t>
    </r>
  </si>
  <si>
    <r>
      <t xml:space="preserve">End Date </t>
    </r>
    <r>
      <rPr>
        <sz val="11"/>
        <rFont val="Aptos Narrow"/>
        <family val="2"/>
        <scheme val="minor"/>
      </rPr>
      <t xml:space="preserve"> 
(year-mm-dd)</t>
    </r>
  </si>
  <si>
    <t xml:space="preserve">Duration </t>
  </si>
  <si>
    <r>
      <t xml:space="preserve">Actual End Date </t>
    </r>
    <r>
      <rPr>
        <sz val="11"/>
        <rFont val="Aptos Narrow"/>
        <family val="2"/>
        <scheme val="minor"/>
      </rPr>
      <t xml:space="preserve"> (year-mm-dd)</t>
    </r>
  </si>
  <si>
    <t>Status (Complete/In Progress)</t>
  </si>
  <si>
    <t>Notes</t>
  </si>
  <si>
    <t>Agenda and Topic Finalization</t>
  </si>
  <si>
    <t>Receive event request from leadership</t>
  </si>
  <si>
    <t xml:space="preserve"> Email receieved from leadership on event objective and estimated venue date</t>
  </si>
  <si>
    <t>None</t>
  </si>
  <si>
    <t>Discuss anticipated attendees</t>
  </si>
  <si>
    <t>Defined attendee profile and attendance target</t>
  </si>
  <si>
    <t>Discuss whether the event will be organized with an external partner</t>
  </si>
  <si>
    <t>Confirmed participation of an external partner and expected contribution</t>
  </si>
  <si>
    <t>If working with external partners, clarify roles, responsibilities, and expectations</t>
  </si>
  <si>
    <t>Documented agreed partner responsibilities, attendee targets and speaking roles</t>
  </si>
  <si>
    <t>Discuss the detailed event topic and agenda with leadership (Lisa C., Kevin L., etc.)</t>
  </si>
  <si>
    <t>Aligned event objectives, discussion topics, session structure, and duration</t>
  </si>
  <si>
    <t>Draft the event topic and agenda based on leadership input</t>
  </si>
  <si>
    <t>Completed draft agenda including objectives, topics, speakers, and timings</t>
  </si>
  <si>
    <t>#5 – Leadership alignment on event objectives and discussion topics is required before drafting the agenda</t>
  </si>
  <si>
    <t>Review the event topic and agenda with leadership (Stanley C., etc.)</t>
  </si>
  <si>
    <t>Incorporated leadership feedback into the draft agenda</t>
  </si>
  <si>
    <t>Obtain leadership approval of the event topic and agenda (Lisa C., Kevin L., etc.)</t>
  </si>
  <si>
    <t>Finalized and approved the event agenda for distribution</t>
  </si>
  <si>
    <t>Milestone 1 – Attendee Count and Agenda Confirmed</t>
  </si>
  <si>
    <t>Confirmed attendee targets and approved agenda</t>
  </si>
  <si>
    <t>Room and Catering Finalization</t>
  </si>
  <si>
    <t>Check room availability (Deloitte or external venue) for the proposed event date</t>
  </si>
  <si>
    <t>Identified venue options and confirmed availability</t>
  </si>
  <si>
    <t>#8 – Approved event duration are needed before evaluating venue options</t>
  </si>
  <si>
    <t>Confirm date availability with leadership (Lisa C., Kevin L., etc.)</t>
  </si>
  <si>
    <t>Aligned with leadership on venue availability</t>
  </si>
  <si>
    <t>#10 – Available venue options should be reviewed before finalizing the event date</t>
  </si>
  <si>
    <t>Book the event space (conference room and social space) and reserve a registration table in the lobby</t>
  </si>
  <si>
    <t>Secured venue booking and registration table reservation</t>
  </si>
  <si>
    <t>Estimate the food and beverage budget for the event</t>
  </si>
  <si>
    <t>Developed catering budget based on attendance estimates and event format</t>
  </si>
  <si>
    <t>#2, #10 – Attendance estimates drive catering quantities, and the event date and format affect catering requirements and pricing</t>
  </si>
  <si>
    <t>Share the food and beverage budget with leadership for approval</t>
  </si>
  <si>
    <t>Approved catering budget for event planning purposes</t>
  </si>
  <si>
    <t>Arrange catering services</t>
  </si>
  <si>
    <t>Confirmed menu selections, service times, attendee counts, and catering order</t>
  </si>
  <si>
    <t>#14 – Budget approval is required before catering services can be confirmed</t>
  </si>
  <si>
    <t>Milestone 2 – Room Booking and Catering Confirmed</t>
  </si>
  <si>
    <t>Confirmed venue, registration table, and catering arrangements</t>
  </si>
  <si>
    <t>Invitation Material Finalization</t>
  </si>
  <si>
    <t>Send a placeholder calendar (date, time) invite to Deloitte leadership and the organizing team</t>
  </si>
  <si>
    <t>Distributed placeholder calendar invite with confirmed date and time</t>
  </si>
  <si>
    <t>#12 – The event date should be confirmed before holding attendees' calendars</t>
  </si>
  <si>
    <t>Draft the calendar invitation, including event details and agenda</t>
  </si>
  <si>
    <t>Prepared calendar invitation with approved agenda, venue details, and attendee instructions</t>
  </si>
  <si>
    <t>#8, #12 – The agenda should be approved and venue details confirmed before draft inivitation email</t>
  </si>
  <si>
    <t>Review the calendar invitation with leadership (Stanley C., etc.)</t>
  </si>
  <si>
    <t>Incorporated leadership feedback into the calendar invitation</t>
  </si>
  <si>
    <t>Send the calendar invitation to the organizing team, external partners, and Deloitte leadership</t>
  </si>
  <si>
    <t>Distributed calendar invitation to organizers, leadership, external partners, and attendees</t>
  </si>
  <si>
    <t>Draft the thank-you email</t>
  </si>
  <si>
    <t>Prepared thank-you email including event agenda and discussion topic</t>
  </si>
  <si>
    <t>Review and obtain approval of the thank-you email from leadership (Stanley C., etc.)</t>
  </si>
  <si>
    <t>Approved thank-you email for post-event distribution</t>
  </si>
  <si>
    <t>Milestone 3 – Invitation Materials Finalized</t>
  </si>
  <si>
    <t>Finalized invitation materials and post-event communications</t>
  </si>
  <si>
    <t>Material Finalization</t>
  </si>
  <si>
    <t>Draft the presentation deck template</t>
  </si>
  <si>
    <t>Created presentation template aligned with Deloitte branding standards</t>
  </si>
  <si>
    <t>#8 – The agenda should be approved before presentation materials are developed</t>
  </si>
  <si>
    <t>Share the draft presentation deck with designated slide owners</t>
  </si>
  <si>
    <t>Assigned slide ownership and distributed presentation materials</t>
  </si>
  <si>
    <t>Perform QA Review #1 of the presentation deck to ensure content flow and consistency</t>
  </si>
  <si>
    <t>Verified content flow, formatting consistency, and branding compliance</t>
  </si>
  <si>
    <t>#24 – Presentation content should be developed before quality assurance can be performed</t>
  </si>
  <si>
    <t>Review presentation materials with leadership (Stanley C., etc.)</t>
  </si>
  <si>
    <t>Incorporated leadership feedback into presentation materials</t>
  </si>
  <si>
    <t>Obtain leadership approval of presentation materials (Lisa C., Kevin L., etc.)</t>
  </si>
  <si>
    <t>Approved presentation materials for event delivery</t>
  </si>
  <si>
    <t>Milestone 4 – Presentation Deck Finalized</t>
  </si>
  <si>
    <t>Finalized presentation materials for event delivery</t>
  </si>
  <si>
    <t>Set up a shared folder and supporting templates</t>
  </si>
  <si>
    <t>Created centralized workspace with folders, templates, and trackers accessible to event organizers</t>
  </si>
  <si>
    <t>Create a Teams group chat for Deloitte event organizers</t>
  </si>
  <si>
    <t>Established communication channel and add all organizers.</t>
  </si>
  <si>
    <t>Schedule weekly stand-up meetings with event organizers</t>
  </si>
  <si>
    <t>Scheduled recurring meetings and communicated attendance expectations</t>
  </si>
  <si>
    <t>Outreach and Registration</t>
  </si>
  <si>
    <t>Set up the registration link (e.g., DU Tracker)</t>
  </si>
  <si>
    <t>Configured and tested registration platform</t>
  </si>
  <si>
    <t>Distribute the registration link to attendees</t>
  </si>
  <si>
    <t>Sent registration link to intended attendees</t>
  </si>
  <si>
    <t>#33 – The registration platform should be tested before distribution</t>
  </si>
  <si>
    <t>Milestone 5 – Registration Opened</t>
  </si>
  <si>
    <t>Opened attendee registration process</t>
  </si>
  <si>
    <t>Download the attendee registration report from the registration platform</t>
  </si>
  <si>
    <t>Generated attendee registration report for reconciliation purposes</t>
  </si>
  <si>
    <t>Share the registration list with leadership (Lisa C., Kevin L., etc.)</t>
  </si>
  <si>
    <t>Provided leadership with attendee registration status and attendance trends</t>
  </si>
  <si>
    <t>#33 – Registration data should be available before sharing attendee status updates</t>
  </si>
  <si>
    <t>Identify attendees included in the registration list who have not received the calendar invitation</t>
  </si>
  <si>
    <t>Reconciled registration and invitation lists and identified attendance gaps</t>
  </si>
  <si>
    <t>Send calendar invitations to outstanding attendees</t>
  </si>
  <si>
    <t>Distributed invitations to all outstanding attendees</t>
  </si>
  <si>
    <t>Register external attendees in ServiceNow</t>
  </si>
  <si>
    <t>Completed ServiceNow registration requirements for external attendees</t>
  </si>
  <si>
    <t>#37 – External attendees should be confirmed before ServiceNow registration is completed</t>
  </si>
  <si>
    <t>Milestone 6 – Registration Completed</t>
  </si>
  <si>
    <t>Completed attendee registration and invitation reconciliation activities</t>
  </si>
  <si>
    <t>Draft event signage</t>
  </si>
  <si>
    <t>Prepared signage aligned with Deloitte branding standards and venue requirements</t>
  </si>
  <si>
    <t>89, #11 – Venue details and topic should be confirmed before signage is developed</t>
  </si>
  <si>
    <t>Review and obtain approval of event signage from leadership</t>
  </si>
  <si>
    <t>Approved event signage for production and event use</t>
  </si>
  <si>
    <t>Coordinate IT support and videoconferencing requirements</t>
  </si>
  <si>
    <t>Confirmed technical requirements, event-day support resources, and AV coverage</t>
  </si>
  <si>
    <t>#11 – Venue selection should be confirmed before defining technology requirements</t>
  </si>
  <si>
    <t>Set up signage 30 minutes before the event and remove it 30 minutes after the event start time</t>
  </si>
  <si>
    <t>Installed approved signage at designated event locations</t>
  </si>
  <si>
    <t>Milestone 7 – Signage Completed</t>
  </si>
  <si>
    <t>Event Execution Logistics</t>
  </si>
  <si>
    <t>Confirm the Deloitte moderator</t>
  </si>
  <si>
    <t>Selected moderator and communicated event responsibilities</t>
  </si>
  <si>
    <t>#8 – Agenda and session structure should be finalized before selecting a moderator</t>
  </si>
  <si>
    <t>Prepare questions for the Q&amp;A session</t>
  </si>
  <si>
    <t>Developed and approved discussion questions to support event dialogue</t>
  </si>
  <si>
    <t>#28 – Presentation materials should be finalized before preparing discussion questions</t>
  </si>
  <si>
    <t>Conduct a dry run with presenters and partners to confirm timing, handoffs, and speaking roles</t>
  </si>
  <si>
    <t>Completed rehearsal covering timing, handoffs, speaker transitions, and technology validation</t>
  </si>
  <si>
    <t>#28, #47, #48 – Presentation materials should be finalized, moderator confirmed, and Q&amp;A content prepared before rehearsal</t>
  </si>
  <si>
    <t>Order lanyards, podium passes, and name trays</t>
  </si>
  <si>
    <t>Ordered event materials and received order confirmations</t>
  </si>
  <si>
    <t>#36 – Registration trends should be reviewed before determining material quantities</t>
  </si>
  <si>
    <t>Order name tags</t>
  </si>
  <si>
    <t>Ordered name tags and confirmed delivery requirements</t>
  </si>
  <si>
    <t>Milestone 8 - Event Execution Logistics</t>
  </si>
  <si>
    <t>Confirmed speaker readiness, event materials, and rehearsal completion</t>
  </si>
  <si>
    <t>Day-of Roles</t>
  </si>
  <si>
    <t>Assign event-day responsibilities in the Team Coordination tab</t>
  </si>
  <si>
    <t>Documented and communicated event-day roles and responsibilities</t>
  </si>
  <si>
    <t>Collect and prepare lanyards</t>
  </si>
  <si>
    <t>Prepared lanyards for attendee distribution and collection</t>
  </si>
  <si>
    <t>#50, #51 – Lanyards should be received before they can be prepared</t>
  </si>
  <si>
    <t>Organize name tags alphabetically by last name</t>
  </si>
  <si>
    <t>Arranged name tags alphabetically for attendee check-in</t>
  </si>
  <si>
    <t>#54 – Name tags should be received before they can be organized</t>
  </si>
  <si>
    <t>Complete final technology and audiovisual checks</t>
  </si>
  <si>
    <t>Verified functionality of presentation, audiovisual, and videoconferencing equipment</t>
  </si>
  <si>
    <t>Prepare and distribute meeting minutes</t>
  </si>
  <si>
    <t>Distributed summary of key discussions, decisions, questions, and action items</t>
  </si>
  <si>
    <t>Event Completed</t>
  </si>
  <si>
    <t>Send the thank-you email with the presentation attached</t>
  </si>
  <si>
    <t>Distributed approved thank-you email and presentation materials to attendees</t>
  </si>
  <si>
    <t>#22 – Email approval and event summary information should be available before distribution</t>
  </si>
  <si>
    <t>Retrospective meeting (with food)</t>
  </si>
  <si>
    <t>Schedule a meeting with event organizers to review what went well, what did not, lessons learned, and next steps</t>
  </si>
  <si>
    <t>Update workback plan (tips/links)</t>
  </si>
  <si>
    <t>Workback plan updated with any missing processes or improvements</t>
  </si>
  <si>
    <t>Coordinate venue, and event with leaders prior to draft agenda ,topic anticipated audience</t>
  </si>
  <si>
    <t>Confirm event format and key logistics</t>
  </si>
  <si>
    <t>Milestone (budget - people coming, food we need, venue at deloitte or outside) (room - how many people), registration (how many people)</t>
  </si>
  <si>
    <t>Event scope is fully defined, including confirmed date, target number of attendees, number and type of speakers, and total event duration</t>
  </si>
  <si>
    <t>N/A</t>
  </si>
  <si>
    <t>~ 1 Week</t>
  </si>
  <si>
    <t>Complete</t>
  </si>
  <si>
    <t>Draft budget</t>
  </si>
  <si>
    <t>Budget -&gt; leader input -&gt; execute orders</t>
  </si>
  <si>
    <t>Estimated budget covering venue, catering, and additional event materials</t>
  </si>
  <si>
    <t>#1 - Budget estimates depend on the event format, attendance targets, and logistics requirements.</t>
  </si>
  <si>
    <t>In progress</t>
  </si>
  <si>
    <t>Set up shared folder and templates</t>
  </si>
  <si>
    <t>Agenda -&gt; set up place holders for organizing team + external partner and deloitte leadership</t>
  </si>
  <si>
    <t>Centralized folder created with clear subfolders (e.g., outreach, logistics, materials) and trackers/templates accessible to all team members</t>
  </si>
  <si>
    <t>~ 1 Day</t>
  </si>
  <si>
    <t>Send internal invite with key dates and placeholders</t>
  </si>
  <si>
    <t>Send meeting invite to organizing team. Internal calendar placeholders for the event</t>
  </si>
  <si>
    <t>Create group chat on Teams for Deloitte event organizers</t>
  </si>
  <si>
    <t>Teams chat created with all event organizers added</t>
  </si>
  <si>
    <t>Schedule weekly stand up calls with event organizers</t>
  </si>
  <si>
    <t>Confirm tasks has been completed, and next steps</t>
  </si>
  <si>
    <t>If working with vendor, clarify responsibilities and expectations</t>
  </si>
  <si>
    <t xml:space="preserve"> move before milestone event (before finalized agenda)</t>
  </si>
  <si>
    <t>Vendor roles, attendee targets, and responsibilities clearly agreed</t>
  </si>
  <si>
    <t>#1, #3 - Event objectives and budget constraints should be understood before engaging vendors.</t>
  </si>
  <si>
    <t>Update Internal attendee coordination</t>
  </si>
  <si>
    <t>Identify target attendees, align with partners/leaders, and finalize the internal outreach list.</t>
  </si>
  <si>
    <t>On going</t>
  </si>
  <si>
    <t>External attendee coordination (if applicable)</t>
  </si>
  <si>
    <t>Coordinate with the vendor to identify, review, and finalize the external attendee list.</t>
  </si>
  <si>
    <t>#7 - Vendor responsibilities and attendee expectations must be agreed upon before coordinating outreach.</t>
  </si>
  <si>
    <t>Agenda and Topic finalization</t>
  </si>
  <si>
    <t>Draft Agenda</t>
  </si>
  <si>
    <t>Draft agenda including the event objectives, session topics, timings</t>
  </si>
  <si>
    <t>~ 2 Week</t>
  </si>
  <si>
    <t>Review and approval of the agenda</t>
  </si>
  <si>
    <t>Draft agenda approved by leadership with feedback incorporated</t>
  </si>
  <si>
    <t xml:space="preserve">Draft calendar invite </t>
  </si>
  <si>
    <t>Calendar invite drafted with approved event details, agenda, date, time, venue and attendees instruction</t>
  </si>
  <si>
    <t>Send calendar invite</t>
  </si>
  <si>
    <t>Invite distributed to attendees, with successful delivery confirmed</t>
  </si>
  <si>
    <t>#11, #12 - Calendar invite and agenda must be finalized before distribution.</t>
  </si>
  <si>
    <t>Track registrations</t>
  </si>
  <si>
    <t xml:space="preserve"> Set up tracker (i.e., DU tracker) -&gt; collect excel [ASK RILEY] -&gt; send partner and leadership latest list (dates on when its sent out, T-1,T-3 etc.)</t>
  </si>
  <si>
    <t>Tracker is up to date with confirmed attendees and follow-ups</t>
  </si>
  <si>
    <t>#13 - Registration tracking begins once invitations are sent.</t>
  </si>
  <si>
    <t>Confirm catering</t>
  </si>
  <si>
    <t>Food and drinks scheduled and ready 15 minutes before the designated serving time</t>
  </si>
  <si>
    <t>#14 - Catering requirements depend on expected attendance.</t>
  </si>
  <si>
    <t>Book event space, Book room for food and beverage</t>
  </si>
  <si>
    <t>Main room booked with seating layout (pods) and request for lanyard box for attendees to drop their lanyards after event</t>
  </si>
  <si>
    <t>#1 - Venue requirements depend on approved event format and attendance targets.</t>
  </si>
  <si>
    <t>~ 2 Days</t>
  </si>
  <si>
    <t>Rooms booked for cocktail/dinner hours, request set up 15min prior to scheduled time</t>
  </si>
  <si>
    <t>#7 - Food and beverage orders depend on attendance estimates.</t>
  </si>
  <si>
    <t>Prepare draft signage</t>
  </si>
  <si>
    <t>Signage draft in line with Deloitte standards</t>
  </si>
  <si>
    <t>~1 Week</t>
  </si>
  <si>
    <t>Review and approval of signage with leadership</t>
  </si>
  <si>
    <t>Signage approved by leadership and IT</t>
  </si>
  <si>
    <t>Coordinate IT support (videoconferencing capabilities)</t>
  </si>
  <si>
    <t>IT confirmed to support AV and arrive 30min before event start time</t>
  </si>
  <si>
    <t>#16 - IT requirements depend on the selected venue and event format.</t>
  </si>
  <si>
    <t>Signage (30min before and 30min after event start)</t>
  </si>
  <si>
    <t>Signage placed 30min before registration opens and 30min after event start time</t>
  </si>
  <si>
    <t>Book registration table</t>
  </si>
  <si>
    <t xml:space="preserve">Put all bookings together </t>
  </si>
  <si>
    <t>Lobby registration table requested and confirmed</t>
  </si>
  <si>
    <t>Draft and assign presentation materials to appropriate individual</t>
  </si>
  <si>
    <t>Draft presentation materials completed, with each slide assigned to the appropriate individual for content development and review.</t>
  </si>
  <si>
    <t>Review and approval of presentation materials with leadership (Stanley etc.)</t>
  </si>
  <si>
    <t>Review and approval of presentation materials with leadership (Lisa, Kevin etc.)</t>
  </si>
  <si>
    <t>Presentation materials reviewed by leadership, feedback incorporated, and final approval received for presentation at the event.</t>
  </si>
  <si>
    <t>#22 - Completion of the presentation materials</t>
  </si>
  <si>
    <t xml:space="preserve">Review Materials (Final QA) </t>
  </si>
  <si>
    <t>Confirm slide materials has consistent formatting</t>
  </si>
  <si>
    <t>Follow up partners for attendees</t>
  </si>
  <si>
    <t xml:space="preserve">Sending excel attendees </t>
  </si>
  <si>
    <t>Follow up with partner to complete and confirm the attendees</t>
  </si>
  <si>
    <t xml:space="preserve">Confirm Deloitte moderator </t>
  </si>
  <si>
    <t>Select 1 or 2 individual as a moderator to introduce speakers</t>
  </si>
  <si>
    <t>Prepare questions for Q&amp;A</t>
  </si>
  <si>
    <t>Set of 12 approved questions ready to guide discussion</t>
  </si>
  <si>
    <t>Do a dry run with partners (handoffs, how long each speak etc.)</t>
  </si>
  <si>
    <t xml:space="preserve"> show materials, during the meeting the timekeeper will give you 5min signage for remaining, speaking order</t>
  </si>
  <si>
    <t>Full dry run with speakers and moderators completed with timing and transitions confirmed</t>
  </si>
  <si>
    <t>#23, #25 – Materials, speaker assignments, and Q&amp;A topics must be finalized before rehearsal.</t>
  </si>
  <si>
    <t>Place order for lanyards, podium pass, name trays</t>
  </si>
  <si>
    <t>Confirm and share the confirmation email with the team. Order 10 extra lanyards</t>
  </si>
  <si>
    <t>#14 - Attendance estimates are needed to determine quantities.</t>
  </si>
  <si>
    <t>Place order for name tags</t>
  </si>
  <si>
    <t>Confirm and share the confirmation email with the team. Order 10 blank name tags</t>
  </si>
  <si>
    <t>Draft 'thank you' email - moved up</t>
  </si>
  <si>
    <t>Once agenda is finalized</t>
  </si>
  <si>
    <t>Draft 'thank you' email including the key discussion topics</t>
  </si>
  <si>
    <t>~ 3 Days</t>
  </si>
  <si>
    <t>Review and approval of 'thank you' email - moved up</t>
  </si>
  <si>
    <t>Draft 'thank you' email approved by leadership with feedback incorporated</t>
  </si>
  <si>
    <t>Assign note takers for meeting summary (Q&amp;A)</t>
  </si>
  <si>
    <t>Draft summary of questions and answers during the presentation</t>
  </si>
  <si>
    <t>Day of roles</t>
  </si>
  <si>
    <t>Attendee Flow Coordinator (if necessary)</t>
  </si>
  <si>
    <t>Escort attendees from one room to another</t>
  </si>
  <si>
    <t>Timekeeper (align signage with speakers)</t>
  </si>
  <si>
    <t>Provide a heads-up when speakers have 5 minutes left. Confirm with speakers the signal that will be used</t>
  </si>
  <si>
    <t>Registration table (1x: guide guest, 1x check in, 1x event floor guiding to room)</t>
  </si>
  <si>
    <t>Prepare name tags in trays and arrange them in alphabetical order (by last name); 1x guide guests from the registration table to the elevators, 1x check in attendees (attach name tags to lanyards), 1x floor guide to escort attendees to the room</t>
  </si>
  <si>
    <t>Collect lanyards (have a box on the floor of the conference - optional</t>
  </si>
  <si>
    <t>Collect all lanyards at the end of the event</t>
  </si>
  <si>
    <t>Check name tags (arrange in alphabetical order -last name)</t>
  </si>
  <si>
    <t>Tech check</t>
  </si>
  <si>
    <t>1 hour prior to start, confirm all tech is working (slides, microphones, etc.)</t>
  </si>
  <si>
    <t>Meeting minutes</t>
  </si>
  <si>
    <t>Send 'thank you' email with presentation attached</t>
  </si>
  <si>
    <t>Thank you' email distributed to attendees, with successful delivery confirmed</t>
  </si>
  <si>
    <t>#32 - Final approval must be completed first.</t>
  </si>
  <si>
    <t>Retrospective meeting (w/ food)</t>
  </si>
  <si>
    <t>~  1 Day</t>
  </si>
  <si>
    <t>Role</t>
  </si>
  <si>
    <t>Quantity</t>
  </si>
  <si>
    <t>What they do</t>
  </si>
  <si>
    <t>* Roles we need on the day of</t>
  </si>
  <si>
    <t>Logistic Team Leader</t>
  </si>
  <si>
    <t>IT support person</t>
  </si>
  <si>
    <t>Catering person</t>
  </si>
  <si>
    <t>Elevator Runners + Attendee flow coordinator</t>
  </si>
  <si>
    <t>Registration booth</t>
  </si>
  <si>
    <t>1 guide guest, 1 check in quest</t>
  </si>
  <si>
    <t>Time keeper + Mic runner</t>
  </si>
  <si>
    <t>sign during meeting</t>
  </si>
  <si>
    <t>Moderator</t>
  </si>
  <si>
    <t>Slide Assistant</t>
  </si>
  <si>
    <t>Note Taker</t>
  </si>
  <si>
    <t>for meeting summary</t>
  </si>
  <si>
    <t>Group chat on Teams for Deloitte event organizers</t>
  </si>
  <si>
    <t>Book event space</t>
  </si>
  <si>
    <t>Book room for food and beverage</t>
  </si>
  <si>
    <t>Review and approval of presentation materials with leadership</t>
  </si>
  <si>
    <t>Draft 'thank you' email</t>
  </si>
  <si>
    <t>Review and approval of 'thank you' email</t>
  </si>
  <si>
    <t>Coordinate event and venue with leadership prior</t>
  </si>
  <si>
    <t>Check room availability</t>
  </si>
  <si>
    <t>Links</t>
  </si>
  <si>
    <t>Register external guests</t>
  </si>
  <si>
    <t>Catalog Item - MySupport</t>
  </si>
  <si>
    <t>For videoconferencing capabilities and to arrange any other AV needs</t>
  </si>
  <si>
    <t>Meeting and Conference On Site or Virtual IT Support - MySupport</t>
  </si>
  <si>
    <t>Print name tags</t>
  </si>
  <si>
    <t>Print Service Request - MySupport</t>
  </si>
  <si>
    <t>- Request for 10 blank name tags
-Contact gtaprintshop@deloitte.ca for any questions</t>
  </si>
  <si>
    <t>Request for lanyards, podium pass, name trays</t>
  </si>
  <si>
    <t>Lanyards and Other Pass Card Accessories - MySupport</t>
  </si>
  <si>
    <t>- Lanyards, podium pass and name trays can only be picked up from the Security on the day of the event
- Each name trays can hold 50 name tags
- Request for 10 extra name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</si>
</sst>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x14ac:knownFonts="1">
    <font>
      <sz val="11"/>
      <color theme="1"/>
      <name val="Aptos Narrow"/>
      <family val="2"/>
      <scheme val="minor"/>
    </font>
    <font>
      <b/>
      <sz val="11"/>
      <color rgb="FFFFFFFF"/>
      <name val="Aptos Narrow"/>
      <family val="2"/>
    </font>
    <font>
      <b/>
      <sz val="16"/>
      <name val="Aptos Narrow"/>
      <family val="2"/>
    </font>
    <font>
      <b/>
      <sz val="11"/>
      <name val="Aptos Narrow"/>
      <family val="2"/>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1"/>
      <color rgb="FF242424"/>
      <name val="Aptos Narrow"/>
      <family val="2"/>
      <scheme val="minor"/>
    </font>
    <font>
      <b/>
      <sz val="11"/>
      <color theme="0"/>
      <name val="Aptos Narrow"/>
      <family val="2"/>
    </font>
    <font>
      <sz val="8"/>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b/>
      <sz val="18"/>
      <color theme="0"/>
      <name val="Aptos Narrow"/>
      <family val="2"/>
    </font>
    <font>
      <b/>
      <i/>
      <u/>
      <sz val="11"/>
      <color theme="1"/>
      <name val="Aptos Narrow"/>
      <family val="2"/>
      <scheme val="minor"/>
    </font>
    <font>
      <b/>
      <u/>
      <sz val="11"/>
      <color theme="1"/>
      <name val="Aptos Narrow"/>
      <family val="2"/>
      <scheme val="minor"/>
    </font>
    <font>
      <b/>
      <sz val="11"/>
      <color rgb="FFFF0000"/>
      <name val="Aptos Narrow"/>
      <family val="2"/>
      <scheme val="minor"/>
    </font>
    <font>
      <sz val="11"/>
      <color theme="9"/>
      <name val="Aptos Narrow"/>
      <family val="2"/>
      <scheme val="minor"/>
    </font>
  </fonts>
  <fills count="16">
    <fill>
      <patternFill patternType="none"/>
    </fill>
    <fill>
      <patternFill patternType="gray125"/>
    </fill>
    <fill>
      <patternFill patternType="solid">
        <fgColor rgb="FF1F4E78"/>
      </patternFill>
    </fill>
    <fill>
      <patternFill patternType="solid">
        <fgColor theme="6"/>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E1F2"/>
      </patternFill>
    </fill>
    <fill>
      <patternFill patternType="solid">
        <fgColor rgb="FFF8E4F6"/>
        <bgColor indexed="64"/>
      </patternFill>
    </fill>
    <fill>
      <patternFill patternType="solid">
        <fgColor rgb="FFE6E6E6"/>
        <bgColor indexed="64"/>
      </patternFill>
    </fill>
    <fill>
      <patternFill patternType="solid">
        <fgColor rgb="FFFCE7DC"/>
        <bgColor indexed="64"/>
      </patternFill>
    </fill>
    <fill>
      <patternFill patternType="solid">
        <fgColor rgb="FFCDEBF7"/>
        <bgColor indexed="64"/>
      </patternFill>
    </fill>
    <fill>
      <patternFill patternType="solid">
        <fgColor rgb="FFD3F0C8"/>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13">
    <border>
      <left/>
      <right/>
      <top/>
      <bottom/>
      <diagonal/>
    </border>
    <border>
      <left/>
      <right/>
      <top/>
      <bottom style="thin">
        <color rgb="FFD9E2F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rgb="FFD9E2F3"/>
      </bottom>
      <diagonal/>
    </border>
    <border>
      <left/>
      <right style="thin">
        <color theme="0" tint="-0.249977111117893"/>
      </right>
      <top style="thin">
        <color theme="0" tint="-0.249977111117893"/>
      </top>
      <bottom style="thin">
        <color rgb="FFD9E2F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rgb="FFD9E2F3"/>
      </top>
      <bottom style="thin">
        <color theme="0" tint="-0.249977111117893"/>
      </bottom>
      <diagonal/>
    </border>
    <border>
      <left/>
      <right style="thin">
        <color theme="0" tint="-0.249977111117893"/>
      </right>
      <top style="thin">
        <color rgb="FFD9E2F3"/>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style="thin">
        <color rgb="FFBFBFBF"/>
      </right>
      <top style="thin">
        <color rgb="FFBFBFBF"/>
      </top>
      <bottom style="thin">
        <color rgb="FFBFBFBF"/>
      </bottom>
      <diagonal/>
    </border>
    <border>
      <left/>
      <right/>
      <top style="thin">
        <color rgb="FFD9E2F3"/>
      </top>
      <bottom/>
      <diagonal/>
    </border>
  </borders>
  <cellStyleXfs count="3">
    <xf numFmtId="0" fontId="0" fillId="0" borderId="0"/>
    <xf numFmtId="9" fontId="4" fillId="0" borderId="0" applyFont="0" applyFill="0" applyBorder="0" applyAlignment="0" applyProtection="0"/>
    <xf numFmtId="0" fontId="11" fillId="0" borderId="0" applyNumberFormat="0" applyFill="0" applyBorder="0" applyAlignment="0" applyProtection="0"/>
  </cellStyleXfs>
  <cellXfs count="93">
    <xf numFmtId="0" fontId="0" fillId="0" borderId="0" xfId="0"/>
    <xf numFmtId="0" fontId="0" fillId="0" borderId="0" xfId="0" applyAlignment="1">
      <alignment wrapText="1"/>
    </xf>
    <xf numFmtId="0" fontId="0" fillId="0" borderId="0" xfId="0" applyAlignment="1">
      <alignment horizontal="center"/>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0" xfId="0" applyAlignment="1">
      <alignment vertical="top" wrapText="1"/>
    </xf>
    <xf numFmtId="9" fontId="0" fillId="0" borderId="0" xfId="1" applyFont="1"/>
    <xf numFmtId="164" fontId="0" fillId="0" borderId="1" xfId="0" applyNumberFormat="1" applyBorder="1" applyAlignment="1">
      <alignment vertical="top" wrapText="1"/>
    </xf>
    <xf numFmtId="0" fontId="0" fillId="0" borderId="1" xfId="0" quotePrefix="1" applyBorder="1" applyAlignment="1">
      <alignment vertical="top" wrapText="1"/>
    </xf>
    <xf numFmtId="0" fontId="8" fillId="0" borderId="0" xfId="0" applyFont="1"/>
    <xf numFmtId="0" fontId="9" fillId="3" borderId="1" xfId="0" applyFont="1" applyFill="1" applyBorder="1" applyAlignment="1">
      <alignment vertical="top" wrapText="1"/>
    </xf>
    <xf numFmtId="0" fontId="6" fillId="4" borderId="2" xfId="0" applyFont="1" applyFill="1" applyBorder="1" applyAlignment="1">
      <alignment horizontal="center" vertical="center" wrapText="1"/>
    </xf>
    <xf numFmtId="0" fontId="5" fillId="3" borderId="9" xfId="0" applyFont="1" applyFill="1" applyBorder="1" applyAlignment="1">
      <alignment horizontal="center"/>
    </xf>
    <xf numFmtId="0" fontId="5" fillId="3" borderId="10" xfId="0" applyFont="1" applyFill="1" applyBorder="1" applyAlignment="1">
      <alignment horizontal="center"/>
    </xf>
    <xf numFmtId="0" fontId="3" fillId="5" borderId="1" xfId="0" applyFont="1" applyFill="1" applyBorder="1" applyAlignment="1">
      <alignment vertical="top" wrapText="1"/>
    </xf>
    <xf numFmtId="0" fontId="13" fillId="5" borderId="1" xfId="0" applyFont="1" applyFill="1" applyBorder="1" applyAlignment="1">
      <alignment horizontal="center" vertical="center" wrapText="1"/>
    </xf>
    <xf numFmtId="0" fontId="1" fillId="3" borderId="1" xfId="0" applyFont="1" applyFill="1" applyBorder="1" applyAlignment="1">
      <alignment vertical="top" wrapText="1"/>
    </xf>
    <xf numFmtId="0" fontId="16" fillId="0" borderId="0" xfId="0" quotePrefix="1" applyFont="1"/>
    <xf numFmtId="0" fontId="0" fillId="0" borderId="2" xfId="0" applyBorder="1" applyAlignment="1">
      <alignment horizontal="left" vertical="center" wrapText="1"/>
    </xf>
    <xf numFmtId="0" fontId="13" fillId="0" borderId="0" xfId="2" applyFont="1" applyFill="1" applyAlignment="1">
      <alignment horizontal="left" vertical="center"/>
    </xf>
    <xf numFmtId="0" fontId="15" fillId="0" borderId="0" xfId="0" quotePrefix="1" applyFont="1"/>
    <xf numFmtId="49" fontId="0" fillId="0" borderId="0" xfId="0" applyNumberFormat="1"/>
    <xf numFmtId="49" fontId="13" fillId="5" borderId="1" xfId="0" applyNumberFormat="1" applyFont="1" applyFill="1" applyBorder="1" applyAlignment="1">
      <alignment horizontal="center" vertical="center" wrapText="1"/>
    </xf>
    <xf numFmtId="0" fontId="0" fillId="0" borderId="0" xfId="0" applyAlignment="1">
      <alignment vertical="center" wrapText="1"/>
    </xf>
    <xf numFmtId="0" fontId="11" fillId="0" borderId="0" xfId="2" applyAlignment="1">
      <alignment vertical="center"/>
    </xf>
    <xf numFmtId="49" fontId="0" fillId="0" borderId="0" xfId="0" quotePrefix="1" applyNumberFormat="1" applyAlignment="1">
      <alignment vertical="center" wrapText="1"/>
    </xf>
    <xf numFmtId="0" fontId="11" fillId="0" borderId="0" xfId="2" applyAlignment="1">
      <alignment vertical="center" wrapText="1"/>
    </xf>
    <xf numFmtId="49" fontId="0" fillId="0" borderId="0" xfId="0" applyNumberFormat="1" applyAlignme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horizontal="center" vertical="center" wrapText="1"/>
    </xf>
    <xf numFmtId="0" fontId="13" fillId="5" borderId="1" xfId="0" applyFont="1" applyFill="1" applyBorder="1" applyAlignment="1">
      <alignment horizontal="center" vertical="top" wrapText="1"/>
    </xf>
    <xf numFmtId="0" fontId="0" fillId="0" borderId="1" xfId="0" applyBorder="1" applyAlignment="1">
      <alignment horizontal="center" vertical="top" wrapText="1"/>
    </xf>
    <xf numFmtId="0" fontId="6" fillId="6" borderId="1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6" fillId="10"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1" fontId="0" fillId="0" borderId="1" xfId="0" applyNumberFormat="1" applyBorder="1" applyAlignment="1">
      <alignment horizontal="center" vertical="center" wrapText="1"/>
    </xf>
    <xf numFmtId="14" fontId="0" fillId="0" borderId="0" xfId="0" applyNumberFormat="1" applyAlignment="1">
      <alignment vertical="center"/>
    </xf>
    <xf numFmtId="0" fontId="0" fillId="0" borderId="0" xfId="0" applyAlignment="1">
      <alignment vertical="center"/>
    </xf>
    <xf numFmtId="0" fontId="0" fillId="0" borderId="0" xfId="0" applyAlignment="1">
      <alignment horizontal="center" vertical="top" wrapText="1"/>
    </xf>
    <xf numFmtId="0" fontId="0" fillId="0" borderId="0" xfId="0" applyAlignment="1">
      <alignment horizontal="center" wrapText="1"/>
    </xf>
    <xf numFmtId="0" fontId="0" fillId="0" borderId="0" xfId="0" applyAlignment="1">
      <alignment horizontal="center" vertical="center" wrapText="1"/>
    </xf>
    <xf numFmtId="0" fontId="0" fillId="0" borderId="12" xfId="0" applyBorder="1" applyAlignment="1">
      <alignment vertical="center"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0" xfId="0" quotePrefix="1"/>
    <xf numFmtId="0" fontId="13" fillId="5" borderId="0" xfId="0" applyFont="1" applyFill="1" applyAlignment="1">
      <alignment horizontal="center" vertical="top" wrapText="1"/>
    </xf>
    <xf numFmtId="0" fontId="0" fillId="0" borderId="0" xfId="0" quotePrefix="1" applyAlignment="1">
      <alignment vertical="top" wrapText="1"/>
    </xf>
    <xf numFmtId="0" fontId="6" fillId="6" borderId="0" xfId="0" applyFont="1" applyFill="1" applyAlignment="1">
      <alignment horizontal="center" vertical="top" wrapText="1"/>
    </xf>
    <xf numFmtId="0" fontId="13" fillId="0" borderId="1" xfId="0" applyFont="1" applyBorder="1" applyAlignment="1">
      <alignment horizontal="center" vertical="top" wrapText="1"/>
    </xf>
    <xf numFmtId="0" fontId="13" fillId="0" borderId="0" xfId="0" applyFont="1" applyAlignment="1">
      <alignment horizontal="center" vertical="top" wrapText="1"/>
    </xf>
    <xf numFmtId="0" fontId="12" fillId="0" borderId="1" xfId="0" applyFont="1" applyBorder="1" applyAlignment="1">
      <alignment horizontal="center" vertical="top" wrapText="1"/>
    </xf>
    <xf numFmtId="0" fontId="12" fillId="0" borderId="1" xfId="0" applyFont="1" applyBorder="1" applyAlignment="1">
      <alignment horizontal="left" vertical="top" wrapText="1"/>
    </xf>
    <xf numFmtId="0" fontId="6" fillId="0" borderId="1" xfId="0" applyFont="1" applyBorder="1" applyAlignment="1">
      <alignment horizontal="center" vertical="top" wrapText="1"/>
    </xf>
    <xf numFmtId="0" fontId="13" fillId="5"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0" borderId="1" xfId="0" applyFont="1" applyBorder="1" applyAlignment="1">
      <alignment vertical="top" wrapText="1"/>
    </xf>
    <xf numFmtId="0" fontId="6" fillId="6" borderId="11" xfId="0" applyFont="1" applyFill="1" applyBorder="1" applyAlignment="1">
      <alignment horizontal="center" vertical="center" wrapText="1"/>
    </xf>
    <xf numFmtId="0" fontId="18" fillId="0" borderId="0" xfId="0" quotePrefix="1" applyFont="1" applyAlignment="1">
      <alignment vertical="top" wrapText="1"/>
    </xf>
    <xf numFmtId="0" fontId="6" fillId="12" borderId="11" xfId="0" applyFont="1" applyFill="1" applyBorder="1" applyAlignment="1">
      <alignment horizontal="center" vertical="center" wrapText="1"/>
    </xf>
    <xf numFmtId="0" fontId="6" fillId="5" borderId="11" xfId="0" applyFont="1" applyFill="1" applyBorder="1" applyAlignment="1">
      <alignment horizontal="center" vertical="center" wrapText="1"/>
    </xf>
    <xf numFmtId="14" fontId="0" fillId="0" borderId="0" xfId="0" applyNumberFormat="1" applyAlignment="1">
      <alignment horizontal="center" vertical="center" wrapText="1"/>
    </xf>
    <xf numFmtId="1" fontId="0" fillId="0" borderId="0" xfId="0" applyNumberFormat="1" applyAlignment="1">
      <alignment horizontal="center" vertical="center" wrapText="1"/>
    </xf>
    <xf numFmtId="0" fontId="6" fillId="13" borderId="11" xfId="0" applyFont="1" applyFill="1" applyBorder="1" applyAlignment="1">
      <alignment horizontal="center" vertical="center" wrapText="1"/>
    </xf>
    <xf numFmtId="0" fontId="6" fillId="14" borderId="11" xfId="0" applyFont="1" applyFill="1" applyBorder="1" applyAlignment="1">
      <alignment horizontal="center" vertical="center" wrapText="1"/>
    </xf>
    <xf numFmtId="0" fontId="6" fillId="15" borderId="1" xfId="0" applyFont="1" applyFill="1" applyBorder="1" applyAlignment="1">
      <alignment horizontal="center" vertical="top" wrapText="1"/>
    </xf>
    <xf numFmtId="0" fontId="6" fillId="13" borderId="0" xfId="0" applyFont="1" applyFill="1" applyAlignment="1">
      <alignment horizontal="center" vertical="center" wrapText="1"/>
    </xf>
    <xf numFmtId="0" fontId="1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quotePrefix="1" applyBorder="1" applyAlignment="1">
      <alignment horizontal="left" vertical="center" wrapText="1"/>
    </xf>
    <xf numFmtId="0" fontId="6" fillId="0" borderId="1" xfId="0" applyFont="1" applyBorder="1" applyAlignment="1">
      <alignment vertical="center" wrapText="1"/>
    </xf>
    <xf numFmtId="0" fontId="12" fillId="0" borderId="1" xfId="0" applyFont="1" applyBorder="1" applyAlignment="1">
      <alignment vertical="center" wrapText="1"/>
    </xf>
    <xf numFmtId="0" fontId="1" fillId="3" borderId="1" xfId="0" applyFont="1" applyFill="1" applyBorder="1" applyAlignment="1">
      <alignment horizontal="left" vertical="center" wrapText="1"/>
    </xf>
    <xf numFmtId="0" fontId="0" fillId="0" borderId="12" xfId="0" applyBorder="1" applyAlignment="1">
      <alignment horizontal="center" vertical="top" wrapText="1"/>
    </xf>
    <xf numFmtId="0" fontId="0" fillId="0" borderId="1" xfId="0" applyBorder="1" applyAlignment="1">
      <alignment horizontal="center" vertical="top" wrapText="1"/>
    </xf>
    <xf numFmtId="0" fontId="0" fillId="0" borderId="12" xfId="0" applyBorder="1" applyAlignment="1">
      <alignment horizontal="center" vertical="center" wrapText="1"/>
    </xf>
    <xf numFmtId="0" fontId="0" fillId="0" borderId="0" xfId="0" applyAlignment="1">
      <alignment horizontal="center" vertical="center" wrapText="1"/>
    </xf>
    <xf numFmtId="0" fontId="1" fillId="3" borderId="1" xfId="0" applyFont="1" applyFill="1" applyBorder="1" applyAlignment="1">
      <alignment vertical="top" wrapText="1"/>
    </xf>
    <xf numFmtId="0" fontId="0" fillId="0" borderId="1" xfId="0" applyBorder="1" applyAlignment="1">
      <alignment horizontal="center" vertical="center" wrapText="1"/>
    </xf>
    <xf numFmtId="0" fontId="0" fillId="0" borderId="0" xfId="0" applyAlignment="1">
      <alignment horizontal="left" wrapText="1"/>
    </xf>
    <xf numFmtId="0" fontId="14" fillId="3" borderId="1" xfId="0" applyFont="1" applyFill="1" applyBorder="1" applyAlignment="1">
      <alignment vertical="top" wrapText="1"/>
    </xf>
    <xf numFmtId="0" fontId="7" fillId="3" borderId="1" xfId="0" applyFont="1" applyFill="1" applyBorder="1" applyAlignment="1">
      <alignment vertical="top" wrapText="1"/>
    </xf>
    <xf numFmtId="0" fontId="3" fillId="5" borderId="3" xfId="0" applyFont="1" applyFill="1" applyBorder="1" applyAlignment="1">
      <alignment horizontal="center" vertical="top" wrapText="1"/>
    </xf>
    <xf numFmtId="0" fontId="3" fillId="5" borderId="4" xfId="0" applyFont="1" applyFill="1" applyBorder="1" applyAlignment="1">
      <alignment horizontal="center" vertical="top" wrapText="1"/>
    </xf>
    <xf numFmtId="0" fontId="2" fillId="5" borderId="7" xfId="0" applyFont="1" applyFill="1" applyBorder="1" applyAlignment="1">
      <alignment horizontal="center" vertical="top" wrapText="1"/>
    </xf>
    <xf numFmtId="0" fontId="2" fillId="5" borderId="8" xfId="0" applyFont="1" applyFill="1" applyBorder="1" applyAlignment="1">
      <alignment horizontal="center" vertical="top" wrapText="1"/>
    </xf>
    <xf numFmtId="0" fontId="2" fillId="5" borderId="5" xfId="0" applyFont="1" applyFill="1" applyBorder="1" applyAlignment="1">
      <alignment horizontal="center" vertical="top" wrapText="1"/>
    </xf>
    <xf numFmtId="0" fontId="0" fillId="5" borderId="6" xfId="0" applyFill="1" applyBorder="1" applyAlignment="1">
      <alignment horizontal="center" vertical="top" wrapText="1"/>
    </xf>
    <xf numFmtId="0" fontId="12" fillId="5" borderId="4" xfId="0" applyFont="1" applyFill="1" applyBorder="1" applyAlignment="1">
      <alignment horizontal="center" vertical="top" wrapText="1"/>
    </xf>
  </cellXfs>
  <cellStyles count="3">
    <cellStyle name="Hyperlink" xfId="2" builtinId="8"/>
    <cellStyle name="Normal" xfId="0" builtinId="0"/>
    <cellStyle name="Percent" xfId="1" builtinId="5"/>
  </cellStyles>
  <dxfs count="10">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D3F0C8"/>
      <color rgb="FFCDEBF7"/>
      <color rgb="FFFCE7DC"/>
      <color rgb="FFE6E6E6"/>
      <color rgb="FFF8E4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ung, Stanley" id="{33804D36-B5DE-4082-B0F9-9C324F511600}" userId="S::stachung@deloitte.ca::bac1b39c-1f16-4467-855c-c4fce2bec1ff" providerId="AD"/>
  <person displayName="Widyadharma, Vanessa" id="{37C69E9E-138E-42FA-8886-8979FE63C8E2}" userId="S::vwidyadharma@deloitte.ca::deb9b1a4-3190-4d59-bfb4-d9a73795934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 dT="2026-07-07T13:23:56.21" personId="{33804D36-B5DE-4082-B0F9-9C324F511600}" id="{2F4411D1-A55F-4C80-9488-C62149711201}">
    <text>include start date, end date, duration, actual end date columns</text>
  </threadedComment>
  <threadedComment ref="G2" dT="2026-07-07T13:55:55.12" personId="{37C69E9E-138E-42FA-8886-8979FE63C8E2}" id="{03198346-19B2-4D2E-911B-502197026972}" parentId="{2F4411D1-A55F-4C80-9488-C62149711201}">
    <text>Included</text>
  </threadedComment>
  <threadedComment ref="M2" dT="2026-07-07T14:36:46.87" personId="{33804D36-B5DE-4082-B0F9-9C324F511600}" id="{223033AF-5018-4FE0-B830-441327ED9EAB}">
    <text xml:space="preserve">How do we note the dependencies? </text>
  </threadedComment>
</ThreadedComments>
</file>

<file path=xl/threadedComments/threadedComment2.xml><?xml version="1.0" encoding="utf-8"?>
<ThreadedComments xmlns="http://schemas.microsoft.com/office/spreadsheetml/2018/threadedcomments" xmlns:x="http://schemas.openxmlformats.org/spreadsheetml/2006/main">
  <threadedComment ref="H2" dT="2026-07-07T13:23:56.21" personId="{33804D36-B5DE-4082-B0F9-9C324F511600}" id="{51723014-CFF9-4581-BE97-6BFAA7940932}">
    <text>include start date, end date, duration, actual end date columns</text>
  </threadedComment>
  <threadedComment ref="H2" dT="2026-07-07T13:55:55.12" personId="{37C69E9E-138E-42FA-8886-8979FE63C8E2}" id="{4584E03D-6B91-4360-A303-07DFD18BED82}" parentId="{51723014-CFF9-4581-BE97-6BFAA7940932}">
    <text>Included</text>
  </threadedComment>
  <threadedComment ref="N2" dT="2026-07-07T14:36:46.87" personId="{33804D36-B5DE-4082-B0F9-9C324F511600}" id="{4D71F3F0-6CD8-4C53-A41D-295F1613CF49}">
    <text xml:space="preserve">How do we note the dependencies? </text>
  </threadedComment>
  <threadedComment ref="E4" dT="2026-07-07T14:32:50.70" personId="{33804D36-B5DE-4082-B0F9-9C324F511600}" id="{BD70E8F1-831C-49CB-88ED-3BF47F49E618}">
    <text xml:space="preserve">Part of this exercise is to show how far out we need to conduct the planning. how can we show that? for instance, it almost looks like i can run this at the same time as the event or at worst a week before? </text>
  </threadedComment>
  <threadedComment ref="E11" dT="2026-07-07T14:33:33.22" personId="{33804D36-B5DE-4082-B0F9-9C324F511600}" id="{7317B3B5-CE5D-4F0A-BB27-7A0EB30B67D9}">
    <text>This one should be separated- there is an internal coordination effort and if applicable, an external attendee coordination with the vendor</text>
  </threadedComment>
  <threadedComment ref="E11" dT="2026-07-07T14:52:02.48" personId="{37C69E9E-138E-42FA-8886-8979FE63C8E2}" id="{19285E2D-6A62-4F33-9717-52693BBA74E7}" parentId="{7317B3B5-CE5D-4F0A-BB27-7A0EB30B67D9}">
    <text>Separated into internal attendee coordination and external attendee coordination(if applicable)</text>
  </threadedComment>
  <threadedComment ref="C36" dT="2026-07-07T13:25:59.16" personId="{33804D36-B5DE-4082-B0F9-9C324F511600}" id="{DA213138-87C2-4A3B-94EF-B93F8B4A53F0}">
    <text xml:space="preserve">does this include review / approval cycles with leaders? </text>
  </threadedComment>
  <threadedComment ref="C36" dT="2026-07-07T13:58:36.31" personId="{37C69E9E-138E-42FA-8886-8979FE63C8E2}" id="{7EC67C8C-3F42-412F-8EE2-F41A2432251E}" parentId="{DA213138-87C2-4A3B-94EF-B93F8B4A53F0}">
    <text>I will break it down into 1)draft ‘thank you’ email 2) review and approval of ‘thank you’ email 3) send ‘thank you’ email</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6-07-07T13:23:56.21" personId="{33804D36-B5DE-4082-B0F9-9C324F511600}" id="{259952C7-0911-4FA9-9FC6-1F6EAD16936D}">
    <text>include start date, end date, duration, actual end date columns</text>
  </threadedComment>
  <threadedComment ref="G2" dT="2026-07-07T13:55:55.12" personId="{37C69E9E-138E-42FA-8886-8979FE63C8E2}" id="{BF30A106-60D8-49C7-B83A-AF9B3B4356BF}" parentId="{259952C7-0911-4FA9-9FC6-1F6EAD16936D}">
    <text>Included</text>
  </threadedComment>
  <threadedComment ref="M2" dT="2026-07-07T14:36:46.87" personId="{33804D36-B5DE-4082-B0F9-9C324F511600}" id="{03FE6203-9D4E-4A97-A8EC-0EFAE23AEAE5}">
    <text xml:space="preserve">How do we note the dependencies? </text>
  </threadedComment>
  <threadedComment ref="D4" dT="2026-07-07T14:32:50.70" personId="{33804D36-B5DE-4082-B0F9-9C324F511600}" id="{839BDF96-A89F-4DD8-A591-9534A6AE8811}">
    <text xml:space="preserve">Part of this exercise is to show how far out we need to conduct the planning. how can we show that? for instance, it almost looks like i can run this at the same time as the event or at worst a week before? </text>
  </threadedComment>
  <threadedComment ref="D11" dT="2026-07-07T14:33:33.22" personId="{33804D36-B5DE-4082-B0F9-9C324F511600}" id="{9C75B7AC-C207-463E-9154-D5D5974CA54B}">
    <text>This one should be separated- there is an internal coordination effort and if applicable, an external attendee coordination with the vendor</text>
  </threadedComment>
  <threadedComment ref="D11" dT="2026-07-07T14:52:02.48" personId="{37C69E9E-138E-42FA-8886-8979FE63C8E2}" id="{83268FDE-E3CB-4C30-95C5-0EEC994A2815}" parentId="{9C75B7AC-C207-463E-9154-D5D5974CA54B}">
    <text>Separated into internal attendee coordination and external attendee coordination(if applicable)</text>
  </threadedComment>
  <threadedComment ref="C35" dT="2026-07-07T13:25:59.16" personId="{33804D36-B5DE-4082-B0F9-9C324F511600}" id="{4A128112-359C-4AA7-8698-8550703EA480}">
    <text xml:space="preserve">does this include review / approval cycles with leaders? </text>
  </threadedComment>
  <threadedComment ref="C35" dT="2026-07-07T13:58:36.31" personId="{37C69E9E-138E-42FA-8886-8979FE63C8E2}" id="{87337849-9F17-4194-983A-0CED81D9FA16}" parentId="{4A128112-359C-4AA7-8698-8550703EA480}">
    <text>I will break it down into 1)draft ‘thank you’ email 2) review and approval of ‘thank you’ email 3) send ‘thank you’ email</text>
  </threadedComment>
</ThreadedComments>
</file>

<file path=xl/threadedComments/threadedComment4.xml><?xml version="1.0" encoding="utf-8"?>
<ThreadedComments xmlns="http://schemas.microsoft.com/office/spreadsheetml/2018/threadedcomments" xmlns:x="http://schemas.openxmlformats.org/spreadsheetml/2006/main">
  <threadedComment ref="H2" dT="2026-07-07T13:23:56.21" personId="{33804D36-B5DE-4082-B0F9-9C324F511600}" id="{D377C81A-BDD8-4B46-B106-8E0FC818F1F3}">
    <text>include start date, end date, duration, actual end date columns</text>
  </threadedComment>
  <threadedComment ref="H2" dT="2026-07-07T13:55:55.12" personId="{37C69E9E-138E-42FA-8886-8979FE63C8E2}" id="{1BB074A8-A389-4683-AC0B-089D63D90B93}" parentId="{D377C81A-BDD8-4B46-B106-8E0FC818F1F3}">
    <text>Included</text>
  </threadedComment>
  <threadedComment ref="N2" dT="2026-07-07T14:36:46.87" personId="{33804D36-B5DE-4082-B0F9-9C324F511600}" id="{38762B62-4EB5-4601-9EA0-4094AF253893}">
    <text xml:space="preserve">How do we note the dependencies? </text>
  </threadedComment>
  <threadedComment ref="E6" dT="2026-07-07T14:32:50.70" personId="{33804D36-B5DE-4082-B0F9-9C324F511600}" id="{3CCE8257-21E2-42CC-B9DE-8EFEB879A9BB}">
    <text xml:space="preserve">Part of this exercise is to show how far out we need to conduct the planning. how can we show that? for instance, it almost looks like i can run this at the same time as the event or at worst a week before? </text>
  </threadedComment>
  <threadedComment ref="E13" dT="2026-07-07T14:33:33.22" personId="{33804D36-B5DE-4082-B0F9-9C324F511600}" id="{25DB9EB3-6F1C-4618-B36A-5E8B97932285}">
    <text>This one should be separated- there is an internal coordination effort and if applicable, an external attendee coordination with the vendor</text>
  </threadedComment>
  <threadedComment ref="E13" dT="2026-07-07T14:52:02.48" personId="{37C69E9E-138E-42FA-8886-8979FE63C8E2}" id="{FC780AD8-EB84-4F84-A6BA-F64658D4590B}" parentId="{25DB9EB3-6F1C-4618-B36A-5E8B97932285}">
    <text>Separated into internal attendee coordination and external attendee coordination(if applicable)</text>
  </threadedComment>
  <threadedComment ref="C38" dT="2026-07-07T13:25:59.16" personId="{33804D36-B5DE-4082-B0F9-9C324F511600}" id="{A290737B-AEA8-4B99-8990-4ABD6F6002C8}">
    <text xml:space="preserve">does this include review / approval cycles with leaders? </text>
  </threadedComment>
  <threadedComment ref="C38" dT="2026-07-07T13:58:36.31" personId="{37C69E9E-138E-42FA-8886-8979FE63C8E2}" id="{5B59E7CC-9C54-4017-A423-FC269E02DAE1}" parentId="{A290737B-AEA8-4B99-8990-4ABD6F6002C8}">
    <text>I will break it down into 1)draft ‘thank you’ email 2) review and approval of ‘thank you’ email 3) send ‘thank you’ email</text>
  </threadedComment>
</ThreadedComments>
</file>

<file path=xl/threadedComments/threadedComment5.xml><?xml version="1.0" encoding="utf-8"?>
<ThreadedComments xmlns="http://schemas.microsoft.com/office/spreadsheetml/2018/threadedcomments" xmlns:x="http://schemas.openxmlformats.org/spreadsheetml/2006/main">
  <threadedComment ref="H2" dT="2026-07-07T13:23:56.21" personId="{33804D36-B5DE-4082-B0F9-9C324F511600}" id="{487E6B1E-A95D-443F-B955-650DE4D6B214}">
    <text>include start date, end date, duration, actual end date columns</text>
  </threadedComment>
  <threadedComment ref="H2" dT="2026-07-07T13:55:55.12" personId="{37C69E9E-138E-42FA-8886-8979FE63C8E2}" id="{33C7C8BA-EEB9-4557-BDA4-897E18E0B874}" parentId="{487E6B1E-A95D-443F-B955-650DE4D6B214}">
    <text>Included</text>
  </threadedComment>
  <threadedComment ref="N2" dT="2026-07-07T14:36:46.87" personId="{33804D36-B5DE-4082-B0F9-9C324F511600}" id="{0E09DD2E-3309-4377-A9FE-EBC012308734}">
    <text xml:space="preserve">How do we note the dependencies? </text>
  </threadedComment>
  <threadedComment ref="E4" dT="2026-07-07T14:32:50.70" personId="{33804D36-B5DE-4082-B0F9-9C324F511600}" id="{58C1E4BA-CBE0-4B23-9FD3-B88C281E2642}">
    <text xml:space="preserve">Part of this exercise is to show how far out we need to conduct the planning. how can we show that? for instance, it almost looks like i can run this at the same time as the event or at worst a week before? </text>
  </threadedComment>
  <threadedComment ref="E11" dT="2026-07-07T14:33:33.22" personId="{33804D36-B5DE-4082-B0F9-9C324F511600}" id="{EA73046C-F86D-4E06-9B98-03148813F166}">
    <text>This one should be separated- there is an internal coordination effort and if applicable, an external attendee coordination with the vendor</text>
  </threadedComment>
  <threadedComment ref="E11" dT="2026-07-07T14:52:02.48" personId="{37C69E9E-138E-42FA-8886-8979FE63C8E2}" id="{DAC4F7FA-B51C-4044-B5AB-74B1ABE0D08B}" parentId="{EA73046C-F86D-4E06-9B98-03148813F166}">
    <text>Separated into internal attendee coordination and external attendee coordination(if applicable)</text>
  </threadedComment>
  <threadedComment ref="C36" dT="2026-07-07T13:25:59.16" personId="{33804D36-B5DE-4082-B0F9-9C324F511600}" id="{B08C6409-8457-43BD-B4D5-B6E4793DE7FF}">
    <text xml:space="preserve">does this include review / approval cycles with leaders? </text>
  </threadedComment>
  <threadedComment ref="C36" dT="2026-07-07T13:58:36.31" personId="{37C69E9E-138E-42FA-8886-8979FE63C8E2}" id="{6A906F64-BF4C-46F1-B0C8-21132D355740}" parentId="{B08C6409-8457-43BD-B4D5-B6E4793DE7FF}">
    <text>I will break it down into 1)draft ‘thank you’ email 2) review and approval of ‘thank you’ email 3) send ‘thank you’ email</text>
  </threadedComment>
</ThreadedComment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hyperlink" Target="https://nam10.safelinks.protection.outlook.com/?url=https%3A%2F%2Fdeloittecan.service-now.com%2Fmysupport%3Fid%3Dsc_cat_item%26sys_id%3D8db25b524f44c340bdd2e3414210c7dc%26table%3Dsc_cat_item%26searchTerm%3Dlanyard&amp;data=05%7C02%7Cvwidyadharma%40deloitte.ca%7Cdcd3f44653dd4b40697608dec24a9da6%7C36da45f1dd2c4d1faf135abe46b99921%7C0%7C0%7C639161822970368034%7CUnknown%7CTWFpbGZsb3d8eyJFbXB0eU1hcGkiOnRydWUsIlYiOiIwLjAuMDAwMCIsIlAiOiJXaW4zMiIsIkFOIjoiTWFpbCIsIldUIjoyfQ%3D%3D%7C0%7C%7C%7C&amp;sdata=hUfaPAZZAvl6WBDDHVyCHsTiiK3fhCJqFwwFYrME77A%3D&amp;reserved=0" TargetMode="External"/><Relationship Id="rId2" Type="http://schemas.openxmlformats.org/officeDocument/2006/relationships/hyperlink" Target="https://nam10.safelinks.protection.outlook.com/?url=https%3A%2F%2Fdeloittecan.service-now.com%2Fmysupport%3Fid%3Dsc_cat_item%26sys_id%3Dc9056db21b50281866f7bbb21a4bcb9c%26topic%3Dnull&amp;data=05%7C02%7Cvwidyadharma%40deloitte.ca%7Cdcd3f44653dd4b40697608dec24a9da6%7C36da45f1dd2c4d1faf135abe46b99921%7C0%7C0%7C639161822970082036%7CUnknown%7CTWFpbGZsb3d8eyJFbXB0eU1hcGkiOnRydWUsIlYiOiIwLjAuMDAwMCIsIlAiOiJXaW4zMiIsIkFOIjoiTWFpbCIsIldUIjoyfQ%3D%3D%7C0%7C%7C%7C&amp;sdata=ZQT9rsNfk%2Fx2lWoAJ0zwHnUpzTEfrlTR1eWVdOgt2Xw%3D&amp;reserved=0" TargetMode="External"/><Relationship Id="rId1" Type="http://schemas.openxmlformats.org/officeDocument/2006/relationships/hyperlink" Target="https://nam10.safelinks.protection.outlook.com/?url=https%3A%2F%2Fdeloittecan.service-now.com%2Fmysupport%3Fid%3Dsc_cat_item%26table%3Dsc_cat_item%26sys_id%3D5775b3c4dbba9050f85c9427db96197e&amp;data=05%7C02%7Cvwidyadharma%40deloitte.ca%7Cdcd3f44653dd4b40697608dec24a9da6%7C36da45f1dd2c4d1faf135abe46b99921%7C0%7C0%7C639161822969540151%7CUnknown%7CTWFpbGZsb3d8eyJFbXB0eU1hcGkiOnRydWUsIlYiOiIwLjAuMDAwMCIsIlAiOiJXaW4zMiIsIkFOIjoiTWFpbCIsIldUIjoyfQ%3D%3D%7C0%7C%7C%7C&amp;sdata=egVh9gBWVRs9b%2FkEzamcxjSGTOoin4Zh89OJVb91ydU%3D&amp;reserved=0" TargetMode="External"/><Relationship Id="rId4" Type="http://schemas.openxmlformats.org/officeDocument/2006/relationships/hyperlink" Target="https://nam10.safelinks.protection.outlook.com/?url=https%3A%2F%2Fdeloittecan.service-now.com%2Fmysupport%3Fid%3Dsc_cat_item%26sys_id%3D8dd7f3a4db42ba509ccc7fb5f3961994%26topic%3D4adc5a1c1b35511066f7bbb21a4bcb47&amp;data=05%7C02%7Cvwidyadharma%40deloitte.ca%7Cdcd3f44653dd4b40697608dec24a9da6%7C36da45f1dd2c4d1faf135abe46b99921%7C0%7C0%7C639161822970249910%7CUnknown%7CTWFpbGZsb3d8eyJFbXB0eU1hcGkiOnRydWUsIlYiOiIwLjAuMDAwMCIsIlAiOiJXaW4zMiIsIkFOIjoiTWFpbCIsIldUIjoyfQ%3D%3D%7C0%7C%7C%7C&amp;sdata=982g60pr%2BnOWp4Iwi5D8hxm4G5hYTgF2dzf%2B6mLWZ%2BQ%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F0DF-E425-4841-B342-C1CE25DD0DC1}">
  <dimension ref="A1:B15"/>
  <sheetViews>
    <sheetView topLeftCell="A5" workbookViewId="0">
      <selection activeCell="A4" sqref="A4:B4"/>
    </sheetView>
  </sheetViews>
  <sheetFormatPr defaultRowHeight="14.4" x14ac:dyDescent="0.3"/>
  <cols>
    <col min="1" max="1" width="22.6640625" customWidth="1"/>
    <col min="2" max="2" width="64.44140625" customWidth="1"/>
  </cols>
  <sheetData>
    <row r="1" spans="1:2" x14ac:dyDescent="0.3">
      <c r="A1" s="19" t="s">
        <v>0</v>
      </c>
    </row>
    <row r="2" spans="1:2" x14ac:dyDescent="0.3">
      <c r="A2" s="19"/>
    </row>
    <row r="3" spans="1:2" x14ac:dyDescent="0.3">
      <c r="A3" s="20" t="s">
        <v>1</v>
      </c>
    </row>
    <row r="4" spans="1:2" ht="160.5" customHeight="1" x14ac:dyDescent="0.3">
      <c r="A4" s="83" t="s">
        <v>2</v>
      </c>
      <c r="B4" s="83"/>
    </row>
    <row r="6" spans="1:2" x14ac:dyDescent="0.3">
      <c r="A6" s="17" t="s">
        <v>3</v>
      </c>
    </row>
    <row r="8" spans="1:2" x14ac:dyDescent="0.3">
      <c r="A8" s="12" t="s">
        <v>4</v>
      </c>
      <c r="B8" s="13" t="s">
        <v>5</v>
      </c>
    </row>
    <row r="9" spans="1:2" x14ac:dyDescent="0.3">
      <c r="A9" s="11" t="s">
        <v>6</v>
      </c>
      <c r="B9" s="18" t="s">
        <v>7</v>
      </c>
    </row>
    <row r="10" spans="1:2" ht="28.8" x14ac:dyDescent="0.3">
      <c r="A10" s="11" t="s">
        <v>8</v>
      </c>
      <c r="B10" s="18" t="s">
        <v>9</v>
      </c>
    </row>
    <row r="11" spans="1:2" x14ac:dyDescent="0.3">
      <c r="A11" s="11" t="s">
        <v>10</v>
      </c>
      <c r="B11" s="18" t="s">
        <v>11</v>
      </c>
    </row>
    <row r="12" spans="1:2" x14ac:dyDescent="0.3">
      <c r="A12" s="11" t="s">
        <v>12</v>
      </c>
      <c r="B12" s="18" t="s">
        <v>13</v>
      </c>
    </row>
    <row r="13" spans="1:2" x14ac:dyDescent="0.3">
      <c r="A13" s="11" t="s">
        <v>14</v>
      </c>
      <c r="B13" s="18" t="s">
        <v>15</v>
      </c>
    </row>
    <row r="14" spans="1:2" ht="28.8" x14ac:dyDescent="0.3">
      <c r="A14" s="11" t="s">
        <v>16</v>
      </c>
      <c r="B14" s="18" t="s">
        <v>17</v>
      </c>
    </row>
    <row r="15" spans="1:2" x14ac:dyDescent="0.3">
      <c r="A15" s="11" t="s">
        <v>18</v>
      </c>
      <c r="B15" s="18" t="s">
        <v>19</v>
      </c>
    </row>
  </sheetData>
  <mergeCells count="1">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workbookViewId="0">
      <pane ySplit="3" topLeftCell="A4" activePane="bottomLeft" state="frozen"/>
      <selection pane="bottomLeft" activeCell="E11" sqref="E11:H11"/>
    </sheetView>
  </sheetViews>
  <sheetFormatPr defaultRowHeight="14.4" x14ac:dyDescent="0.3"/>
  <cols>
    <col min="1" max="1" width="25.6640625" customWidth="1"/>
    <col min="2" max="2" width="18" customWidth="1"/>
    <col min="3" max="3" width="30" customWidth="1"/>
    <col min="4" max="4" width="21.33203125" customWidth="1"/>
    <col min="5" max="5" width="16" customWidth="1"/>
    <col min="6" max="8" width="18" customWidth="1"/>
  </cols>
  <sheetData>
    <row r="1" spans="1:8" ht="21.6" customHeight="1" x14ac:dyDescent="0.3">
      <c r="A1" s="84" t="s">
        <v>20</v>
      </c>
      <c r="B1" s="85"/>
      <c r="C1" s="85"/>
      <c r="D1" s="85"/>
      <c r="E1" s="85"/>
      <c r="F1" s="85"/>
      <c r="G1" s="85"/>
      <c r="H1" s="85"/>
    </row>
    <row r="2" spans="1:8" x14ac:dyDescent="0.3">
      <c r="A2" s="3" t="s">
        <v>21</v>
      </c>
      <c r="B2" s="7">
        <v>46260</v>
      </c>
      <c r="C2" s="3"/>
      <c r="D2" s="3"/>
      <c r="E2" s="3"/>
      <c r="F2" s="3"/>
      <c r="G2" s="3"/>
      <c r="H2" s="3"/>
    </row>
    <row r="3" spans="1:8" x14ac:dyDescent="0.3">
      <c r="A3" s="5" t="s">
        <v>22</v>
      </c>
      <c r="B3" s="5">
        <f ca="1">B2-TODAY()</f>
        <v>1</v>
      </c>
      <c r="C3" s="5"/>
      <c r="D3" s="5"/>
      <c r="E3" s="5"/>
      <c r="F3" s="5"/>
      <c r="G3" s="5"/>
      <c r="H3" s="5"/>
    </row>
    <row r="4" spans="1:8" x14ac:dyDescent="0.3">
      <c r="A4" s="5"/>
      <c r="B4" s="5"/>
      <c r="C4" s="5"/>
      <c r="D4" s="5"/>
      <c r="E4" s="5"/>
      <c r="F4" s="5"/>
      <c r="G4" s="5"/>
      <c r="H4" s="5"/>
    </row>
    <row r="5" spans="1:8" ht="14.4" customHeight="1" x14ac:dyDescent="0.3">
      <c r="A5" s="86" t="s">
        <v>23</v>
      </c>
      <c r="B5" s="92"/>
      <c r="C5" s="86" t="s">
        <v>24</v>
      </c>
      <c r="D5" s="87"/>
      <c r="E5" s="86" t="s">
        <v>25</v>
      </c>
      <c r="F5" s="87"/>
      <c r="G5" s="5"/>
      <c r="H5" s="5"/>
    </row>
    <row r="6" spans="1:8" ht="23.1" customHeight="1" x14ac:dyDescent="0.3">
      <c r="A6" s="90">
        <f>COUNTA('OLD Activities'!C4:C497)</f>
        <v>43</v>
      </c>
      <c r="B6" s="91"/>
      <c r="C6" s="88">
        <f>COUNTIF('OLD Activities'!L2:L497,"Complete")</f>
        <v>2</v>
      </c>
      <c r="D6" s="89"/>
      <c r="E6" s="88">
        <f>A6-C6</f>
        <v>41</v>
      </c>
      <c r="F6" s="89"/>
      <c r="G6" s="5"/>
      <c r="H6" s="5"/>
    </row>
    <row r="7" spans="1:8" x14ac:dyDescent="0.3">
      <c r="A7" s="3"/>
      <c r="B7" s="3"/>
      <c r="C7" s="3"/>
      <c r="D7" s="3"/>
      <c r="E7" s="3"/>
      <c r="F7" s="3"/>
      <c r="G7" s="5"/>
      <c r="H7" s="5"/>
    </row>
    <row r="8" spans="1:8" x14ac:dyDescent="0.3">
      <c r="A8" s="3"/>
      <c r="B8" s="3"/>
      <c r="C8" s="8"/>
      <c r="D8" s="3"/>
      <c r="E8" s="3"/>
      <c r="F8" s="3"/>
      <c r="G8" s="3"/>
      <c r="H8" s="3"/>
    </row>
    <row r="9" spans="1:8" x14ac:dyDescent="0.3">
      <c r="A9" s="10" t="s">
        <v>26</v>
      </c>
      <c r="B9" s="6">
        <f>SUM(C11:C16)/A6</f>
        <v>4.6511627906976744E-2</v>
      </c>
      <c r="C9" s="3"/>
      <c r="D9" s="3"/>
      <c r="E9" s="3"/>
      <c r="F9" s="3"/>
      <c r="G9" s="3"/>
      <c r="H9" s="3"/>
    </row>
    <row r="10" spans="1:8" x14ac:dyDescent="0.3">
      <c r="A10" s="14" t="s">
        <v>8</v>
      </c>
      <c r="B10" s="14" t="s">
        <v>27</v>
      </c>
      <c r="C10" s="14" t="s">
        <v>28</v>
      </c>
      <c r="D10" s="14" t="s">
        <v>29</v>
      </c>
      <c r="E10" s="3"/>
      <c r="F10" s="3"/>
      <c r="G10" s="3"/>
      <c r="H10" s="3"/>
    </row>
    <row r="11" spans="1:8" x14ac:dyDescent="0.3">
      <c r="A11" s="3" t="s">
        <v>30</v>
      </c>
      <c r="B11" s="3">
        <f>COUNTIF('OLD Activities'!B2:B497,A11)</f>
        <v>7</v>
      </c>
      <c r="C11" s="3">
        <f>COUNTIFS('OLD Activities'!B2:B497,A11,'OLD Activities'!L2:L497,"Complete")</f>
        <v>2</v>
      </c>
      <c r="D11" s="3">
        <f t="shared" ref="D11:D16" si="0">B11-C11</f>
        <v>5</v>
      </c>
      <c r="E11" s="3"/>
      <c r="F11" s="3"/>
      <c r="G11" s="3"/>
      <c r="H11" s="3"/>
    </row>
    <row r="12" spans="1:8" x14ac:dyDescent="0.3">
      <c r="A12" s="3" t="s">
        <v>31</v>
      </c>
      <c r="B12" s="3">
        <f>COUNTIF('OLD Activities'!B2:B497,A12)</f>
        <v>8</v>
      </c>
      <c r="C12" s="3">
        <f>COUNTIFS('OLD Activities'!B2:B497,A12,'OLD Activities'!L2:L497,"Complete")</f>
        <v>0</v>
      </c>
      <c r="D12" s="3">
        <f t="shared" si="0"/>
        <v>8</v>
      </c>
      <c r="E12" s="3"/>
      <c r="F12" s="3"/>
      <c r="G12" s="3"/>
      <c r="H12" s="3"/>
    </row>
    <row r="13" spans="1:8" x14ac:dyDescent="0.3">
      <c r="A13" s="3" t="s">
        <v>32</v>
      </c>
      <c r="B13" s="3">
        <f>COUNTIF('OLD Activities'!B2:B497,A13)</f>
        <v>8</v>
      </c>
      <c r="C13" s="3">
        <f>COUNTIFS('OLD Activities'!B2:B497,A13,'OLD Activities'!L2:L497,"Complete")</f>
        <v>0</v>
      </c>
      <c r="D13" s="3">
        <f t="shared" si="0"/>
        <v>8</v>
      </c>
      <c r="E13" s="3"/>
      <c r="F13" s="3"/>
      <c r="G13" s="3"/>
      <c r="H13" s="3"/>
    </row>
    <row r="14" spans="1:8" x14ac:dyDescent="0.3">
      <c r="A14" s="3" t="s">
        <v>33</v>
      </c>
      <c r="B14" s="3">
        <f>COUNTIF('OLD Activities'!B2:B497,A14)</f>
        <v>10</v>
      </c>
      <c r="C14" s="3">
        <f>COUNTIFS('OLD Activities'!B2:B497,A14,'OLD Activities'!L2:L497,"Complete")</f>
        <v>0</v>
      </c>
      <c r="D14" s="3">
        <f t="shared" si="0"/>
        <v>10</v>
      </c>
      <c r="E14" s="3"/>
      <c r="F14" s="3"/>
      <c r="G14" s="3"/>
      <c r="H14" s="3"/>
    </row>
    <row r="15" spans="1:8" x14ac:dyDescent="0.3">
      <c r="A15" s="3" t="s">
        <v>34</v>
      </c>
      <c r="B15" s="3">
        <f>COUNTIF('OLD Activities'!B2:B497,A15)</f>
        <v>6</v>
      </c>
      <c r="C15" s="3">
        <f>COUNTIFS('OLD Activities'!B2:B497,A15,'OLD Activities'!L2:L497,"Complete")</f>
        <v>0</v>
      </c>
      <c r="D15" s="3">
        <f t="shared" si="0"/>
        <v>6</v>
      </c>
      <c r="E15" s="3"/>
      <c r="F15" s="3"/>
      <c r="G15" s="3"/>
      <c r="H15" s="3"/>
    </row>
    <row r="16" spans="1:8" x14ac:dyDescent="0.3">
      <c r="A16" s="3" t="s">
        <v>35</v>
      </c>
      <c r="B16" s="3">
        <f>COUNTIF('OLD Activities'!B2:B497,A16)</f>
        <v>4</v>
      </c>
      <c r="C16" s="3">
        <f>COUNTIFS('OLD Activities'!B2:B497,A16,'OLD Activities'!L2:L497,"Complete")</f>
        <v>0</v>
      </c>
      <c r="D16" s="3">
        <f t="shared" si="0"/>
        <v>4</v>
      </c>
      <c r="E16" s="3"/>
      <c r="F16" s="3"/>
      <c r="G16" s="3"/>
      <c r="H16" s="3"/>
    </row>
    <row r="17" spans="1:8" x14ac:dyDescent="0.3">
      <c r="A17" s="3"/>
      <c r="B17" s="3"/>
      <c r="C17" s="3"/>
      <c r="D17" s="3"/>
      <c r="E17" s="3"/>
      <c r="F17" s="3"/>
      <c r="G17" s="3"/>
      <c r="H17" s="3"/>
    </row>
    <row r="18" spans="1:8" ht="18" customHeight="1" x14ac:dyDescent="0.3">
      <c r="A18" s="10" t="s">
        <v>36</v>
      </c>
      <c r="B18" s="3"/>
      <c r="C18" s="3"/>
      <c r="D18" s="3"/>
      <c r="E18" s="3"/>
      <c r="F18" s="3"/>
      <c r="G18" s="3"/>
      <c r="H18" s="3"/>
    </row>
    <row r="19" spans="1:8" x14ac:dyDescent="0.3">
      <c r="A19" s="14" t="s">
        <v>37</v>
      </c>
      <c r="B19" s="14" t="s">
        <v>27</v>
      </c>
      <c r="C19" s="14" t="s">
        <v>28</v>
      </c>
      <c r="D19" s="14" t="s">
        <v>29</v>
      </c>
      <c r="E19" s="3"/>
      <c r="G19" s="3"/>
      <c r="H19" s="3"/>
    </row>
    <row r="20" spans="1:8" x14ac:dyDescent="0.3">
      <c r="A20" s="3" t="s">
        <v>38</v>
      </c>
      <c r="B20" s="3">
        <f>COUNTIF('OLD Activities'!$K$4:$K$166,A20)</f>
        <v>3</v>
      </c>
      <c r="C20" s="3">
        <f>COUNTIFS('OLD Activities'!$K$4:$K$164,A20,'OLD Activities'!$L$4:$L$164,"Complete")</f>
        <v>1</v>
      </c>
      <c r="D20" s="9">
        <f>COUNTIFS('OLD Activities'!$K$4:$K$170,Dashboard!A20,'OLD Activities'!$L$4:$L$170,"&lt;&gt;Complete")</f>
        <v>2</v>
      </c>
      <c r="E20" s="3"/>
      <c r="F20" s="3"/>
      <c r="G20" s="3"/>
      <c r="H20" s="3"/>
    </row>
    <row r="21" spans="1:8" x14ac:dyDescent="0.3">
      <c r="A21" s="3" t="s">
        <v>39</v>
      </c>
      <c r="B21" s="3">
        <f>COUNTIF('OLD Activities'!$K$4:$K$166,A21)</f>
        <v>1</v>
      </c>
      <c r="C21" s="3">
        <f>COUNTIFS('OLD Activities'!$K$4:$K$164,A21,'OLD Activities'!$L$4:$L$164,"Complete")</f>
        <v>1</v>
      </c>
      <c r="D21" s="9">
        <f>COUNTIFS('OLD Activities'!$K$4:$K$170,Dashboard!A21,'OLD Activities'!$L$4:$L$170,"&lt;&gt;Complete")</f>
        <v>0</v>
      </c>
      <c r="E21" s="3"/>
      <c r="F21" s="3"/>
      <c r="G21" s="3"/>
      <c r="H21" s="3"/>
    </row>
    <row r="22" spans="1:8" x14ac:dyDescent="0.3">
      <c r="A22" s="3" t="s">
        <v>40</v>
      </c>
      <c r="B22" s="3">
        <f>COUNTIF('OLD Activities'!$K$4:$K$166,A22)</f>
        <v>1</v>
      </c>
      <c r="C22" s="3">
        <f>COUNTIFS('OLD Activities'!$K$4:$K$164,A22,'OLD Activities'!$L$4:$L$164,"Complete")</f>
        <v>0</v>
      </c>
      <c r="D22" s="9">
        <f>COUNTIFS('OLD Activities'!$K$4:$K$170,Dashboard!A22,'OLD Activities'!$L$4:$L$170,"&lt;&gt;Complete")</f>
        <v>1</v>
      </c>
      <c r="E22" s="3"/>
      <c r="F22" s="3"/>
      <c r="G22" s="3"/>
      <c r="H22" s="3"/>
    </row>
    <row r="23" spans="1:8" x14ac:dyDescent="0.3">
      <c r="A23" s="3" t="s">
        <v>41</v>
      </c>
      <c r="B23" s="3">
        <f>COUNTIF('OLD Activities'!$K$4:$K$166,A23)</f>
        <v>0</v>
      </c>
      <c r="C23" s="3">
        <f>COUNTIFS('OLD Activities'!$K$4:$K$164,A23,'OLD Activities'!$L$4:$L$164,"Complete")</f>
        <v>0</v>
      </c>
      <c r="D23" s="9">
        <f>COUNTIFS('OLD Activities'!$K$4:$K$170,Dashboard!A23,'OLD Activities'!$L$4:$L$170,"&lt;&gt;Complete")</f>
        <v>0</v>
      </c>
      <c r="E23" s="3"/>
      <c r="F23" s="3"/>
      <c r="G23" s="3"/>
      <c r="H23" s="3"/>
    </row>
    <row r="24" spans="1:8" x14ac:dyDescent="0.3">
      <c r="A24" s="3" t="s">
        <v>42</v>
      </c>
      <c r="B24" s="3">
        <f>COUNTIF('OLD Activities'!$K$4:$K$166,A24)</f>
        <v>0</v>
      </c>
      <c r="C24" s="3">
        <f>COUNTIFS('OLD Activities'!$K$4:$K$164,A24,'OLD Activities'!$L$4:$L$164,"Complete")</f>
        <v>0</v>
      </c>
      <c r="D24" s="9">
        <f>COUNTIFS('OLD Activities'!$K$4:$K$170,Dashboard!A24,'OLD Activities'!$L$4:$L$170,"&lt;&gt;Complete")</f>
        <v>0</v>
      </c>
      <c r="E24" s="3"/>
      <c r="F24" s="3"/>
      <c r="G24" s="3"/>
      <c r="H24" s="3"/>
    </row>
    <row r="25" spans="1:8" x14ac:dyDescent="0.3">
      <c r="A25" s="3" t="s">
        <v>43</v>
      </c>
      <c r="B25" s="3">
        <f>COUNTIF('OLD Activities'!$K$4:$K$166,A25)</f>
        <v>0</v>
      </c>
      <c r="C25" s="3">
        <f>COUNTIFS('OLD Activities'!$K$4:$K$164,A25,'OLD Activities'!$L$4:$L$164,"Complete")</f>
        <v>0</v>
      </c>
      <c r="D25" s="9">
        <f>COUNTIFS('OLD Activities'!$K$4:$K$170,Dashboard!A25,'OLD Activities'!$L$4:$L$170,"&lt;&gt;Complete")</f>
        <v>0</v>
      </c>
      <c r="E25" s="3"/>
      <c r="F25" s="3"/>
      <c r="G25" s="3"/>
      <c r="H25" s="3"/>
    </row>
    <row r="26" spans="1:8" x14ac:dyDescent="0.3">
      <c r="A26" s="3" t="s">
        <v>44</v>
      </c>
      <c r="B26" s="3">
        <f>COUNTIF('OLD Activities'!$K$4:$K$166,A26)</f>
        <v>0</v>
      </c>
      <c r="C26" s="3">
        <f>COUNTIFS('OLD Activities'!$K$4:$K$164,A26,'OLD Activities'!$L$4:$L$164,"Complete")</f>
        <v>0</v>
      </c>
      <c r="D26" s="9">
        <f>COUNTIFS('OLD Activities'!$K$4:$K$170,Dashboard!A26,'OLD Activities'!$L$4:$L$170,"&lt;&gt;Complete")</f>
        <v>0</v>
      </c>
      <c r="E26" s="3"/>
      <c r="F26" s="3"/>
      <c r="G26" s="3"/>
      <c r="H26" s="3"/>
    </row>
    <row r="27" spans="1:8" x14ac:dyDescent="0.3">
      <c r="A27" s="5" t="s">
        <v>45</v>
      </c>
      <c r="B27" s="3">
        <f>COUNTIF('OLD Activities'!$K$4:$K$166,A27)</f>
        <v>0</v>
      </c>
      <c r="C27" s="3">
        <f>COUNTIFS('OLD Activities'!$K$4:$K$164,A27,'OLD Activities'!$L$4:$L$164,"Complete")</f>
        <v>0</v>
      </c>
      <c r="D27" s="9">
        <f>COUNTIFS('OLD Activities'!$K$4:$K$170,Dashboard!A27,'OLD Activities'!$L$4:$L$170,"&lt;&gt;Complete")</f>
        <v>0</v>
      </c>
      <c r="E27" s="3"/>
      <c r="G27" s="3"/>
    </row>
    <row r="28" spans="1:8" x14ac:dyDescent="0.3">
      <c r="A28" s="5" t="s">
        <v>46</v>
      </c>
      <c r="B28" s="3">
        <f>COUNTIF('OLD Activities'!$K$4:$K$166,A28)</f>
        <v>0</v>
      </c>
      <c r="C28" s="3">
        <f>COUNTIFS('OLD Activities'!$K$4:$K$164,A28,'OLD Activities'!$L$4:$L$164,"Complete")</f>
        <v>0</v>
      </c>
      <c r="D28" s="9">
        <f>COUNTIFS('OLD Activities'!$K$4:$K$170,Dashboard!A28,'OLD Activities'!$L$4:$L$170,"&lt;&gt;Complete")</f>
        <v>0</v>
      </c>
      <c r="E28" s="3"/>
      <c r="G28" s="3"/>
    </row>
    <row r="29" spans="1:8" x14ac:dyDescent="0.3">
      <c r="A29" s="5" t="s">
        <v>47</v>
      </c>
      <c r="B29" s="3">
        <f>COUNTIF('OLD Activities'!$K$4:$K$166,A29)</f>
        <v>0</v>
      </c>
      <c r="C29" s="3">
        <f>COUNTIFS('OLD Activities'!$K$4:$K$164,A29,'OLD Activities'!$L$4:$L$164,"Complete")</f>
        <v>0</v>
      </c>
      <c r="D29" s="9">
        <f>COUNTIFS('OLD Activities'!$K$4:$K$170,Dashboard!A29,'OLD Activities'!$L$4:$L$170,"&lt;&gt;Complete")</f>
        <v>0</v>
      </c>
      <c r="E29" s="3"/>
      <c r="G29" s="3"/>
    </row>
    <row r="30" spans="1:8" x14ac:dyDescent="0.3">
      <c r="G30" s="3"/>
    </row>
    <row r="31" spans="1:8" x14ac:dyDescent="0.3">
      <c r="G31" s="3"/>
    </row>
  </sheetData>
  <mergeCells count="7">
    <mergeCell ref="A1:H1"/>
    <mergeCell ref="C5:D5"/>
    <mergeCell ref="C6:D6"/>
    <mergeCell ref="A6:B6"/>
    <mergeCell ref="E6:F6"/>
    <mergeCell ref="A5:B5"/>
    <mergeCell ref="E5:F5"/>
  </mergeCells>
  <conditionalFormatting sqref="B9">
    <cfRule type="dataBar" priority="4">
      <dataBar>
        <cfvo type="num" val="0"/>
        <cfvo type="num" val="1"/>
        <color rgb="FF638EC6"/>
      </dataBar>
      <extLst>
        <ext xmlns:x14="http://schemas.microsoft.com/office/spreadsheetml/2009/9/main" uri="{B025F937-C7B1-47D3-B67F-A62EFF666E3E}">
          <x14:id>{E80FE466-0367-4CEA-92BB-BED71E991D2B}</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E80FE466-0367-4CEA-92BB-BED71E991D2B}">
            <x14:dataBar minLength="0" maxLength="100" gradient="0" direction="leftToRight">
              <x14:cfvo type="num">
                <xm:f>0</xm:f>
              </x14:cfvo>
              <x14:cfvo type="num">
                <xm:f>1</xm:f>
              </x14:cfvo>
              <x14:negativeFillColor rgb="FFFF0000"/>
              <x14:axisColor rgb="FF000000"/>
            </x14:dataBar>
          </x14:cfRule>
          <xm:sqref>B9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0956E-E522-470D-B638-3A59EA3E682B}">
  <dimension ref="A1:B2"/>
  <sheetViews>
    <sheetView workbookViewId="0"/>
  </sheetViews>
  <sheetFormatPr defaultRowHeight="14.4" x14ac:dyDescent="0.3"/>
  <sheetData>
    <row r="1" spans="1:2" x14ac:dyDescent="0.3">
      <c r="A1" t="s">
        <v>48</v>
      </c>
    </row>
    <row r="2" spans="1:2" x14ac:dyDescent="0.3">
      <c r="A2" t="s">
        <v>49</v>
      </c>
      <c r="B2"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6E6D-9937-4674-AB48-1F06C7EB0C17}">
  <dimension ref="A1:M75"/>
  <sheetViews>
    <sheetView zoomScale="80" zoomScaleNormal="80" workbookViewId="0">
      <selection activeCell="G8" sqref="G8"/>
    </sheetView>
  </sheetViews>
  <sheetFormatPr defaultRowHeight="14.4" x14ac:dyDescent="0.3"/>
  <cols>
    <col min="1" max="1" width="6.33203125" customWidth="1"/>
    <col min="2" max="2" width="26" style="2" customWidth="1"/>
    <col min="3" max="3" width="50.44140625" style="23" customWidth="1"/>
    <col min="4" max="4" width="65" style="72" customWidth="1"/>
    <col min="5" max="5" width="35.88671875" style="72" customWidth="1"/>
    <col min="6" max="6" width="24" style="43" customWidth="1"/>
    <col min="7" max="8" width="16" style="40" customWidth="1"/>
    <col min="9" max="9" width="16" style="41" customWidth="1"/>
    <col min="10" max="10" width="16" customWidth="1"/>
    <col min="11" max="11" width="18" customWidth="1"/>
    <col min="12" max="12" width="23.44140625" customWidth="1"/>
    <col min="13" max="13" width="26" customWidth="1"/>
  </cols>
  <sheetData>
    <row r="1" spans="1:13" x14ac:dyDescent="0.3">
      <c r="A1" s="81" t="s">
        <v>51</v>
      </c>
      <c r="B1" s="81"/>
      <c r="C1" s="81"/>
      <c r="D1" s="81"/>
      <c r="E1" s="76"/>
      <c r="F1" s="16"/>
      <c r="G1" s="16"/>
      <c r="H1" s="16"/>
      <c r="I1" s="16"/>
      <c r="J1" s="16"/>
      <c r="K1" s="4"/>
      <c r="L1" s="4"/>
      <c r="M1" s="4"/>
    </row>
    <row r="2" spans="1:13" ht="32.1" customHeight="1" x14ac:dyDescent="0.3">
      <c r="A2" s="31" t="s">
        <v>52</v>
      </c>
      <c r="B2" s="31" t="s">
        <v>8</v>
      </c>
      <c r="C2" s="31" t="s">
        <v>53</v>
      </c>
      <c r="D2" s="57" t="s">
        <v>54</v>
      </c>
      <c r="E2" s="15" t="s">
        <v>55</v>
      </c>
      <c r="F2" s="31" t="s">
        <v>56</v>
      </c>
      <c r="G2" s="31" t="s">
        <v>57</v>
      </c>
      <c r="H2" s="31" t="s">
        <v>58</v>
      </c>
      <c r="I2" s="31" t="s">
        <v>59</v>
      </c>
      <c r="J2" s="31" t="s">
        <v>60</v>
      </c>
      <c r="K2" s="31" t="s">
        <v>16</v>
      </c>
      <c r="L2" s="31" t="s">
        <v>61</v>
      </c>
      <c r="M2" s="31" t="s">
        <v>62</v>
      </c>
    </row>
    <row r="3" spans="1:13" ht="30.6" customHeight="1" x14ac:dyDescent="0.3">
      <c r="A3" s="52">
        <f t="shared" ref="A3:A34" si="0">ROW() - ROW($A$3) + 1</f>
        <v>1</v>
      </c>
      <c r="B3" s="60" t="s">
        <v>63</v>
      </c>
      <c r="C3" s="70" t="s">
        <v>64</v>
      </c>
      <c r="D3" s="70" t="s">
        <v>65</v>
      </c>
      <c r="E3" s="70" t="s">
        <v>66</v>
      </c>
      <c r="F3" s="53"/>
      <c r="G3" s="52"/>
      <c r="H3" s="52"/>
      <c r="I3" s="52"/>
      <c r="J3" s="52"/>
      <c r="K3" s="52"/>
      <c r="L3" s="52"/>
      <c r="M3" s="52"/>
    </row>
    <row r="4" spans="1:13" ht="33.9" customHeight="1" x14ac:dyDescent="0.3">
      <c r="A4" s="32">
        <f>ROW() - ROW($A$3) + 1</f>
        <v>2</v>
      </c>
      <c r="B4" s="60" t="s">
        <v>63</v>
      </c>
      <c r="C4" s="29" t="s">
        <v>67</v>
      </c>
      <c r="D4" s="71" t="s">
        <v>68</v>
      </c>
      <c r="E4" s="71" t="s">
        <v>66</v>
      </c>
      <c r="F4" s="53"/>
      <c r="G4" s="30"/>
      <c r="H4" s="30"/>
      <c r="I4" s="39"/>
      <c r="J4" s="30"/>
      <c r="K4" s="32"/>
      <c r="L4" s="32"/>
      <c r="M4" s="3"/>
    </row>
    <row r="5" spans="1:13" ht="33.9" customHeight="1" x14ac:dyDescent="0.3">
      <c r="A5" s="32">
        <f t="shared" si="0"/>
        <v>3</v>
      </c>
      <c r="B5" s="60" t="s">
        <v>63</v>
      </c>
      <c r="C5" s="29" t="s">
        <v>69</v>
      </c>
      <c r="D5" s="71" t="s">
        <v>70</v>
      </c>
      <c r="E5" s="71" t="s">
        <v>66</v>
      </c>
      <c r="F5" s="53"/>
      <c r="G5" s="30"/>
      <c r="H5" s="30"/>
      <c r="I5" s="39"/>
      <c r="J5" s="30"/>
      <c r="K5" s="32"/>
      <c r="L5" s="32"/>
      <c r="M5" s="3"/>
    </row>
    <row r="6" spans="1:13" ht="33.9" customHeight="1" x14ac:dyDescent="0.3">
      <c r="A6" s="32">
        <f t="shared" si="0"/>
        <v>4</v>
      </c>
      <c r="B6" s="60" t="s">
        <v>63</v>
      </c>
      <c r="C6" s="29" t="s">
        <v>71</v>
      </c>
      <c r="D6" s="71" t="s">
        <v>72</v>
      </c>
      <c r="E6" s="71" t="s">
        <v>66</v>
      </c>
      <c r="F6" s="53"/>
      <c r="G6" s="30"/>
      <c r="H6" s="30"/>
      <c r="I6" s="39"/>
      <c r="J6" s="30"/>
      <c r="K6" s="32"/>
      <c r="L6" s="32"/>
      <c r="M6" s="3"/>
    </row>
    <row r="7" spans="1:13" ht="33.9" customHeight="1" x14ac:dyDescent="0.3">
      <c r="A7" s="32">
        <f t="shared" si="0"/>
        <v>5</v>
      </c>
      <c r="B7" s="60" t="s">
        <v>63</v>
      </c>
      <c r="C7" s="29" t="s">
        <v>73</v>
      </c>
      <c r="D7" s="71" t="s">
        <v>74</v>
      </c>
      <c r="E7" s="71" t="s">
        <v>66</v>
      </c>
      <c r="F7" s="53"/>
      <c r="G7" s="30"/>
      <c r="H7" s="30"/>
      <c r="I7" s="39"/>
      <c r="J7" s="30"/>
      <c r="K7" s="32"/>
      <c r="L7" s="32"/>
      <c r="M7" s="3"/>
    </row>
    <row r="8" spans="1:13" ht="47.4" customHeight="1" x14ac:dyDescent="0.3">
      <c r="A8" s="32">
        <f t="shared" si="0"/>
        <v>6</v>
      </c>
      <c r="B8" s="60" t="s">
        <v>63</v>
      </c>
      <c r="C8" s="29" t="s">
        <v>75</v>
      </c>
      <c r="D8" s="71" t="s">
        <v>76</v>
      </c>
      <c r="E8" s="71" t="s">
        <v>77</v>
      </c>
      <c r="F8" s="53"/>
      <c r="G8" s="30"/>
      <c r="H8" s="30"/>
      <c r="I8" s="39"/>
      <c r="J8" s="30"/>
      <c r="K8" s="32"/>
      <c r="L8" s="32"/>
      <c r="M8" s="3"/>
    </row>
    <row r="9" spans="1:13" ht="33.9" customHeight="1" x14ac:dyDescent="0.3">
      <c r="A9" s="32">
        <f t="shared" si="0"/>
        <v>7</v>
      </c>
      <c r="B9" s="60" t="s">
        <v>63</v>
      </c>
      <c r="C9" s="29" t="s">
        <v>78</v>
      </c>
      <c r="D9" s="71" t="s">
        <v>79</v>
      </c>
      <c r="E9" s="71"/>
      <c r="F9" s="53"/>
      <c r="G9" s="30"/>
      <c r="H9" s="30"/>
      <c r="I9" s="39"/>
      <c r="J9" s="30"/>
      <c r="K9" s="32"/>
      <c r="L9" s="32"/>
      <c r="M9" s="3"/>
    </row>
    <row r="10" spans="1:13" ht="33.9" customHeight="1" x14ac:dyDescent="0.3">
      <c r="A10" s="32">
        <f t="shared" si="0"/>
        <v>8</v>
      </c>
      <c r="B10" s="60" t="s">
        <v>63</v>
      </c>
      <c r="C10" s="29" t="s">
        <v>80</v>
      </c>
      <c r="D10" s="71" t="s">
        <v>81</v>
      </c>
      <c r="E10" s="71"/>
      <c r="F10" s="53"/>
      <c r="G10" s="30"/>
      <c r="H10" s="30"/>
      <c r="I10" s="39"/>
      <c r="J10" s="30"/>
      <c r="K10" s="32"/>
      <c r="L10" s="32"/>
      <c r="M10" s="3"/>
    </row>
    <row r="11" spans="1:13" ht="33.9" customHeight="1" x14ac:dyDescent="0.3">
      <c r="A11" s="32">
        <f t="shared" si="0"/>
        <v>9</v>
      </c>
      <c r="B11" s="60" t="s">
        <v>63</v>
      </c>
      <c r="C11" s="74" t="s">
        <v>82</v>
      </c>
      <c r="D11" s="71" t="s">
        <v>83</v>
      </c>
      <c r="E11" s="71"/>
      <c r="F11" s="53"/>
      <c r="G11" s="30"/>
      <c r="H11" s="30"/>
      <c r="I11" s="39"/>
      <c r="J11" s="30"/>
      <c r="K11" s="32"/>
      <c r="L11" s="32"/>
      <c r="M11" s="3"/>
    </row>
    <row r="12" spans="1:13" ht="32.1" customHeight="1" x14ac:dyDescent="0.3">
      <c r="A12" s="54">
        <f t="shared" si="0"/>
        <v>10</v>
      </c>
      <c r="B12" s="62" t="s">
        <v>84</v>
      </c>
      <c r="C12" s="70" t="s">
        <v>85</v>
      </c>
      <c r="D12" s="70" t="s">
        <v>86</v>
      </c>
      <c r="E12" s="70" t="s">
        <v>87</v>
      </c>
      <c r="F12" s="53"/>
      <c r="G12" s="52"/>
      <c r="H12" s="52"/>
      <c r="I12" s="52"/>
      <c r="J12" s="52"/>
      <c r="K12" s="52"/>
      <c r="L12" s="52"/>
      <c r="M12" s="52"/>
    </row>
    <row r="13" spans="1:13" ht="35.1" customHeight="1" x14ac:dyDescent="0.3">
      <c r="A13" s="32">
        <f t="shared" si="0"/>
        <v>11</v>
      </c>
      <c r="B13" s="62" t="s">
        <v>84</v>
      </c>
      <c r="C13" s="29" t="s">
        <v>88</v>
      </c>
      <c r="D13" s="70" t="s">
        <v>89</v>
      </c>
      <c r="E13" s="71" t="s">
        <v>90</v>
      </c>
      <c r="F13" s="45"/>
      <c r="G13" s="30"/>
      <c r="H13" s="30"/>
      <c r="I13" s="39"/>
      <c r="J13" s="30"/>
      <c r="K13" s="32"/>
      <c r="L13" s="32"/>
      <c r="M13" s="3"/>
    </row>
    <row r="14" spans="1:13" ht="33.9" customHeight="1" x14ac:dyDescent="0.3">
      <c r="A14" s="32">
        <f t="shared" si="0"/>
        <v>12</v>
      </c>
      <c r="B14" s="62" t="s">
        <v>84</v>
      </c>
      <c r="C14" s="29" t="s">
        <v>91</v>
      </c>
      <c r="D14" s="71" t="s">
        <v>92</v>
      </c>
      <c r="E14" s="71"/>
      <c r="F14" s="23"/>
      <c r="G14" s="30"/>
      <c r="H14" s="30"/>
      <c r="I14" s="39"/>
      <c r="J14" s="30"/>
      <c r="K14" s="32"/>
      <c r="L14" s="32"/>
      <c r="M14" s="3"/>
    </row>
    <row r="15" spans="1:13" ht="66.599999999999994" customHeight="1" x14ac:dyDescent="0.3">
      <c r="A15" s="32">
        <f t="shared" si="0"/>
        <v>13</v>
      </c>
      <c r="B15" s="62" t="s">
        <v>84</v>
      </c>
      <c r="C15" s="29" t="s">
        <v>93</v>
      </c>
      <c r="D15" s="71" t="s">
        <v>94</v>
      </c>
      <c r="E15" s="71" t="s">
        <v>95</v>
      </c>
      <c r="F15" s="23"/>
      <c r="G15" s="30"/>
      <c r="H15" s="30"/>
      <c r="I15" s="39"/>
      <c r="J15" s="30"/>
      <c r="K15" s="32"/>
      <c r="L15" s="32"/>
      <c r="M15" s="3"/>
    </row>
    <row r="16" spans="1:13" ht="33.9" customHeight="1" x14ac:dyDescent="0.3">
      <c r="A16" s="32">
        <f t="shared" si="0"/>
        <v>14</v>
      </c>
      <c r="B16" s="62" t="s">
        <v>84</v>
      </c>
      <c r="C16" s="29" t="s">
        <v>96</v>
      </c>
      <c r="D16" s="71" t="s">
        <v>97</v>
      </c>
      <c r="E16" s="71"/>
      <c r="F16" s="23"/>
      <c r="G16" s="30"/>
      <c r="H16" s="30"/>
      <c r="I16" s="39"/>
      <c r="J16" s="30"/>
      <c r="K16" s="32"/>
      <c r="L16" s="32"/>
      <c r="M16" s="3"/>
    </row>
    <row r="17" spans="1:13" ht="33.9" customHeight="1" x14ac:dyDescent="0.3">
      <c r="A17" s="32">
        <f t="shared" si="0"/>
        <v>15</v>
      </c>
      <c r="B17" s="62" t="s">
        <v>84</v>
      </c>
      <c r="C17" s="29" t="s">
        <v>98</v>
      </c>
      <c r="D17" s="71" t="s">
        <v>99</v>
      </c>
      <c r="E17" s="71" t="s">
        <v>100</v>
      </c>
      <c r="F17" s="23"/>
      <c r="G17" s="30"/>
      <c r="H17" s="30"/>
      <c r="I17" s="39"/>
      <c r="J17" s="30"/>
      <c r="K17" s="32"/>
      <c r="L17" s="32"/>
      <c r="M17" s="3"/>
    </row>
    <row r="18" spans="1:13" ht="28.8" x14ac:dyDescent="0.3">
      <c r="A18" s="32">
        <f t="shared" si="0"/>
        <v>16</v>
      </c>
      <c r="B18" s="62" t="s">
        <v>84</v>
      </c>
      <c r="C18" s="74" t="s">
        <v>101</v>
      </c>
      <c r="D18" s="71" t="s">
        <v>102</v>
      </c>
      <c r="F18" s="29"/>
      <c r="G18" s="30"/>
      <c r="H18" s="30"/>
      <c r="I18" s="39"/>
      <c r="J18" s="30"/>
      <c r="K18" s="32"/>
      <c r="L18" s="32"/>
      <c r="M18" s="3"/>
    </row>
    <row r="19" spans="1:13" ht="28.8" x14ac:dyDescent="0.3">
      <c r="A19" s="42">
        <f t="shared" si="0"/>
        <v>17</v>
      </c>
      <c r="B19" s="63" t="s">
        <v>103</v>
      </c>
      <c r="C19" s="72" t="s">
        <v>104</v>
      </c>
      <c r="D19" s="72" t="s">
        <v>105</v>
      </c>
      <c r="E19" s="71" t="s">
        <v>106</v>
      </c>
      <c r="F19" s="23"/>
      <c r="G19" s="64"/>
      <c r="H19" s="64"/>
      <c r="I19" s="65"/>
      <c r="J19" s="64"/>
      <c r="K19" s="42"/>
      <c r="L19" s="42"/>
      <c r="M19" s="5"/>
    </row>
    <row r="20" spans="1:13" ht="50.1" customHeight="1" x14ac:dyDescent="0.3">
      <c r="A20" s="42">
        <f t="shared" si="0"/>
        <v>18</v>
      </c>
      <c r="B20" s="63" t="s">
        <v>103</v>
      </c>
      <c r="C20" s="23" t="s">
        <v>107</v>
      </c>
      <c r="D20" s="72" t="s">
        <v>108</v>
      </c>
      <c r="E20" s="72" t="s">
        <v>109</v>
      </c>
      <c r="F20" s="53"/>
      <c r="G20" s="64"/>
      <c r="H20" s="64"/>
      <c r="I20" s="65"/>
      <c r="J20" s="64"/>
      <c r="K20" s="42"/>
      <c r="L20" s="42"/>
      <c r="M20" s="5"/>
    </row>
    <row r="21" spans="1:13" ht="33.9" customHeight="1" x14ac:dyDescent="0.3">
      <c r="A21" s="32">
        <f t="shared" si="0"/>
        <v>19</v>
      </c>
      <c r="B21" s="63" t="s">
        <v>103</v>
      </c>
      <c r="C21" s="29" t="s">
        <v>110</v>
      </c>
      <c r="D21" s="71" t="s">
        <v>111</v>
      </c>
      <c r="E21" s="71"/>
      <c r="F21" s="53"/>
      <c r="G21" s="30"/>
      <c r="H21" s="30"/>
      <c r="I21" s="39"/>
      <c r="J21" s="30"/>
      <c r="K21" s="32"/>
      <c r="L21" s="32"/>
      <c r="M21" s="3"/>
    </row>
    <row r="22" spans="1:13" ht="33.9" customHeight="1" x14ac:dyDescent="0.3">
      <c r="A22" s="32">
        <f t="shared" si="0"/>
        <v>20</v>
      </c>
      <c r="B22" s="63" t="s">
        <v>103</v>
      </c>
      <c r="C22" s="29" t="s">
        <v>112</v>
      </c>
      <c r="D22" s="71" t="s">
        <v>113</v>
      </c>
      <c r="E22" s="71"/>
      <c r="F22" s="53"/>
      <c r="G22" s="30"/>
      <c r="H22" s="30"/>
      <c r="I22" s="39"/>
      <c r="J22" s="30"/>
      <c r="K22" s="32"/>
      <c r="L22" s="32"/>
      <c r="M22" s="3"/>
    </row>
    <row r="23" spans="1:13" ht="33.9" customHeight="1" x14ac:dyDescent="0.3">
      <c r="A23" s="32">
        <f t="shared" si="0"/>
        <v>21</v>
      </c>
      <c r="B23" s="63" t="s">
        <v>103</v>
      </c>
      <c r="C23" s="29" t="s">
        <v>114</v>
      </c>
      <c r="D23" s="71" t="s">
        <v>115</v>
      </c>
      <c r="E23" s="71" t="s">
        <v>66</v>
      </c>
      <c r="F23" s="53"/>
      <c r="G23" s="30"/>
      <c r="H23" s="30"/>
      <c r="I23" s="39"/>
      <c r="J23" s="30"/>
      <c r="K23" s="32"/>
      <c r="L23" s="32"/>
      <c r="M23" s="3"/>
    </row>
    <row r="24" spans="1:13" ht="33.9" customHeight="1" x14ac:dyDescent="0.3">
      <c r="A24" s="32">
        <f t="shared" si="0"/>
        <v>22</v>
      </c>
      <c r="B24" s="63" t="s">
        <v>103</v>
      </c>
      <c r="C24" s="29" t="s">
        <v>116</v>
      </c>
      <c r="D24" s="71" t="s">
        <v>117</v>
      </c>
      <c r="E24" s="71"/>
      <c r="F24" s="53"/>
      <c r="G24" s="30"/>
      <c r="H24" s="30"/>
      <c r="I24" s="39"/>
      <c r="J24" s="30"/>
      <c r="K24" s="32"/>
      <c r="L24" s="32"/>
      <c r="M24" s="3"/>
    </row>
    <row r="25" spans="1:13" ht="33.9" customHeight="1" x14ac:dyDescent="0.3">
      <c r="A25" s="32">
        <f t="shared" si="0"/>
        <v>23</v>
      </c>
      <c r="B25" s="63" t="s">
        <v>103</v>
      </c>
      <c r="C25" s="74" t="s">
        <v>118</v>
      </c>
      <c r="D25" s="72" t="s">
        <v>119</v>
      </c>
      <c r="E25" s="71"/>
      <c r="F25" s="53"/>
      <c r="G25" s="30"/>
      <c r="H25" s="30"/>
      <c r="I25" s="39"/>
      <c r="J25" s="30"/>
      <c r="K25" s="32"/>
      <c r="L25" s="32"/>
      <c r="M25" s="3"/>
    </row>
    <row r="26" spans="1:13" ht="28.8" x14ac:dyDescent="0.3">
      <c r="A26" s="32">
        <f t="shared" si="0"/>
        <v>24</v>
      </c>
      <c r="B26" s="63" t="s">
        <v>120</v>
      </c>
      <c r="C26" s="29" t="s">
        <v>121</v>
      </c>
      <c r="D26" s="72" t="s">
        <v>122</v>
      </c>
      <c r="E26" s="71" t="s">
        <v>123</v>
      </c>
      <c r="F26" s="28"/>
      <c r="G26" s="30"/>
      <c r="H26" s="30"/>
      <c r="I26" s="39"/>
      <c r="J26" s="30"/>
      <c r="K26" s="32"/>
      <c r="L26" s="32"/>
      <c r="M26" s="3"/>
    </row>
    <row r="27" spans="1:13" ht="29.1" customHeight="1" x14ac:dyDescent="0.3">
      <c r="A27" s="32">
        <f t="shared" si="0"/>
        <v>25</v>
      </c>
      <c r="B27" s="63" t="s">
        <v>120</v>
      </c>
      <c r="C27" s="29" t="s">
        <v>124</v>
      </c>
      <c r="D27" s="72" t="s">
        <v>125</v>
      </c>
      <c r="E27" s="71"/>
      <c r="F27" s="28"/>
      <c r="G27" s="30"/>
      <c r="H27" s="30"/>
      <c r="I27" s="39"/>
      <c r="J27" s="30"/>
      <c r="K27" s="32"/>
      <c r="L27" s="32"/>
      <c r="M27" s="3"/>
    </row>
    <row r="28" spans="1:13" ht="43.5" customHeight="1" x14ac:dyDescent="0.3">
      <c r="A28" s="32">
        <f t="shared" si="0"/>
        <v>26</v>
      </c>
      <c r="B28" s="63" t="s">
        <v>120</v>
      </c>
      <c r="C28" s="29" t="s">
        <v>126</v>
      </c>
      <c r="D28" s="72" t="s">
        <v>127</v>
      </c>
      <c r="E28" s="71" t="s">
        <v>128</v>
      </c>
      <c r="F28" s="28"/>
      <c r="G28" s="30"/>
      <c r="H28" s="30"/>
      <c r="I28" s="39"/>
      <c r="J28" s="30"/>
      <c r="K28" s="32"/>
      <c r="L28" s="32"/>
      <c r="M28" s="3"/>
    </row>
    <row r="29" spans="1:13" ht="29.1" customHeight="1" x14ac:dyDescent="0.3">
      <c r="A29" s="32">
        <f t="shared" si="0"/>
        <v>27</v>
      </c>
      <c r="B29" s="63" t="s">
        <v>120</v>
      </c>
      <c r="C29" s="29" t="s">
        <v>129</v>
      </c>
      <c r="D29" s="72" t="s">
        <v>130</v>
      </c>
      <c r="E29" s="71"/>
      <c r="F29" s="28"/>
      <c r="G29" s="30"/>
      <c r="H29" s="30"/>
      <c r="I29" s="39"/>
      <c r="J29" s="30"/>
      <c r="K29" s="32"/>
      <c r="L29" s="32"/>
      <c r="M29" s="3"/>
    </row>
    <row r="30" spans="1:13" ht="28.8" x14ac:dyDescent="0.3">
      <c r="A30" s="32">
        <f t="shared" si="0"/>
        <v>28</v>
      </c>
      <c r="B30" s="63" t="s">
        <v>120</v>
      </c>
      <c r="C30" s="29" t="s">
        <v>131</v>
      </c>
      <c r="D30" s="72" t="s">
        <v>132</v>
      </c>
      <c r="E30" s="71"/>
      <c r="F30" s="28"/>
      <c r="G30" s="30"/>
      <c r="H30" s="30"/>
      <c r="I30" s="39"/>
      <c r="J30" s="30"/>
      <c r="K30" s="32"/>
      <c r="L30" s="32"/>
      <c r="M30" s="3"/>
    </row>
    <row r="31" spans="1:13" x14ac:dyDescent="0.3">
      <c r="A31" s="32">
        <f t="shared" si="0"/>
        <v>29</v>
      </c>
      <c r="B31" s="63" t="s">
        <v>120</v>
      </c>
      <c r="C31" s="74" t="s">
        <v>133</v>
      </c>
      <c r="D31" s="72" t="s">
        <v>134</v>
      </c>
      <c r="E31" s="71"/>
      <c r="F31" s="28"/>
      <c r="G31" s="30"/>
      <c r="H31" s="30"/>
      <c r="I31" s="39"/>
      <c r="J31" s="30"/>
      <c r="K31" s="32"/>
      <c r="L31" s="32"/>
      <c r="M31" s="3"/>
    </row>
    <row r="32" spans="1:13" ht="28.8" x14ac:dyDescent="0.3">
      <c r="A32" s="32">
        <f t="shared" si="0"/>
        <v>30</v>
      </c>
      <c r="B32" s="66" t="s">
        <v>30</v>
      </c>
      <c r="C32" s="29" t="s">
        <v>135</v>
      </c>
      <c r="D32" s="72" t="s">
        <v>136</v>
      </c>
      <c r="E32" s="71" t="s">
        <v>66</v>
      </c>
      <c r="F32" s="28"/>
      <c r="G32" s="30"/>
      <c r="H32" s="30"/>
      <c r="I32" s="39"/>
      <c r="J32" s="30"/>
      <c r="K32" s="32"/>
      <c r="L32" s="32"/>
      <c r="M32" s="3"/>
    </row>
    <row r="33" spans="1:13" x14ac:dyDescent="0.3">
      <c r="A33" s="32">
        <f t="shared" si="0"/>
        <v>31</v>
      </c>
      <c r="B33" s="66" t="s">
        <v>30</v>
      </c>
      <c r="C33" s="29" t="s">
        <v>137</v>
      </c>
      <c r="D33" s="72" t="s">
        <v>138</v>
      </c>
      <c r="E33" s="71" t="s">
        <v>66</v>
      </c>
      <c r="F33" s="28"/>
      <c r="G33" s="30"/>
      <c r="H33" s="30"/>
      <c r="I33" s="39"/>
      <c r="J33" s="30"/>
      <c r="K33" s="32"/>
      <c r="L33" s="32"/>
      <c r="M33" s="3"/>
    </row>
    <row r="34" spans="1:13" x14ac:dyDescent="0.3">
      <c r="A34" s="32">
        <f t="shared" si="0"/>
        <v>32</v>
      </c>
      <c r="B34" s="66" t="s">
        <v>30</v>
      </c>
      <c r="C34" s="29" t="s">
        <v>139</v>
      </c>
      <c r="D34" s="72" t="s">
        <v>140</v>
      </c>
      <c r="E34" s="71" t="s">
        <v>66</v>
      </c>
      <c r="F34" s="28"/>
      <c r="G34" s="30"/>
      <c r="H34" s="30"/>
      <c r="I34" s="39"/>
      <c r="J34" s="30"/>
      <c r="K34" s="32"/>
      <c r="L34" s="32"/>
      <c r="M34" s="3"/>
    </row>
    <row r="35" spans="1:13" x14ac:dyDescent="0.3">
      <c r="A35" s="32">
        <f t="shared" ref="A35:A62" si="1">ROW() - ROW($A$3) + 1</f>
        <v>33</v>
      </c>
      <c r="B35" s="67" t="s">
        <v>141</v>
      </c>
      <c r="C35" s="29" t="s">
        <v>142</v>
      </c>
      <c r="D35" s="72" t="s">
        <v>143</v>
      </c>
      <c r="E35" s="71" t="s">
        <v>66</v>
      </c>
      <c r="F35" s="28"/>
      <c r="G35" s="30"/>
      <c r="H35" s="30"/>
      <c r="I35" s="39"/>
      <c r="J35" s="30"/>
      <c r="K35" s="32"/>
      <c r="L35" s="32"/>
      <c r="M35" s="3"/>
    </row>
    <row r="36" spans="1:13" ht="28.8" x14ac:dyDescent="0.3">
      <c r="A36" s="32">
        <f t="shared" si="1"/>
        <v>34</v>
      </c>
      <c r="B36" s="67" t="s">
        <v>141</v>
      </c>
      <c r="C36" s="29" t="s">
        <v>144</v>
      </c>
      <c r="D36" s="72" t="s">
        <v>145</v>
      </c>
      <c r="E36" s="71" t="s">
        <v>146</v>
      </c>
      <c r="F36" s="28"/>
      <c r="G36" s="30"/>
      <c r="H36" s="30"/>
      <c r="I36" s="39"/>
      <c r="J36" s="30"/>
      <c r="K36" s="32"/>
      <c r="L36" s="32"/>
      <c r="M36" s="3"/>
    </row>
    <row r="37" spans="1:13" x14ac:dyDescent="0.3">
      <c r="A37" s="32">
        <f t="shared" si="1"/>
        <v>35</v>
      </c>
      <c r="B37" s="67" t="s">
        <v>141</v>
      </c>
      <c r="C37" s="74" t="s">
        <v>147</v>
      </c>
      <c r="D37" s="72" t="s">
        <v>148</v>
      </c>
      <c r="E37" s="71"/>
      <c r="F37" s="28"/>
      <c r="G37" s="30"/>
      <c r="H37" s="30"/>
      <c r="I37" s="39"/>
      <c r="J37" s="30"/>
      <c r="K37" s="32"/>
      <c r="L37" s="32"/>
      <c r="M37" s="3"/>
    </row>
    <row r="38" spans="1:13" ht="28.8" x14ac:dyDescent="0.3">
      <c r="A38" s="32">
        <f t="shared" si="1"/>
        <v>36</v>
      </c>
      <c r="B38" s="67" t="s">
        <v>141</v>
      </c>
      <c r="C38" s="75" t="s">
        <v>149</v>
      </c>
      <c r="D38" s="72" t="s">
        <v>150</v>
      </c>
      <c r="E38" s="71"/>
      <c r="F38" s="28"/>
      <c r="G38" s="30"/>
      <c r="H38" s="30"/>
      <c r="I38" s="39"/>
      <c r="J38" s="30"/>
      <c r="K38" s="32"/>
      <c r="L38" s="32"/>
      <c r="M38" s="3"/>
    </row>
    <row r="39" spans="1:13" ht="54" customHeight="1" x14ac:dyDescent="0.3">
      <c r="A39" s="32">
        <f t="shared" si="1"/>
        <v>37</v>
      </c>
      <c r="B39" s="67" t="s">
        <v>141</v>
      </c>
      <c r="C39" s="75" t="s">
        <v>151</v>
      </c>
      <c r="D39" s="72" t="s">
        <v>152</v>
      </c>
      <c r="E39" s="71" t="s">
        <v>153</v>
      </c>
      <c r="F39" s="28"/>
      <c r="G39" s="30"/>
      <c r="H39" s="30"/>
      <c r="I39" s="39"/>
      <c r="J39" s="30"/>
      <c r="K39" s="32"/>
      <c r="L39" s="32"/>
      <c r="M39" s="3"/>
    </row>
    <row r="40" spans="1:13" ht="28.8" x14ac:dyDescent="0.3">
      <c r="A40" s="32">
        <f t="shared" si="1"/>
        <v>38</v>
      </c>
      <c r="B40" s="67" t="s">
        <v>141</v>
      </c>
      <c r="C40" s="75" t="s">
        <v>154</v>
      </c>
      <c r="D40" s="72" t="s">
        <v>155</v>
      </c>
      <c r="E40" s="71"/>
      <c r="F40" s="28"/>
      <c r="G40" s="30"/>
      <c r="H40" s="30"/>
      <c r="I40" s="39"/>
      <c r="J40" s="30"/>
      <c r="K40" s="32"/>
      <c r="L40" s="32"/>
      <c r="M40" s="3"/>
    </row>
    <row r="41" spans="1:13" x14ac:dyDescent="0.3">
      <c r="A41" s="32">
        <f t="shared" si="1"/>
        <v>39</v>
      </c>
      <c r="B41" s="67" t="s">
        <v>141</v>
      </c>
      <c r="C41" s="75" t="s">
        <v>156</v>
      </c>
      <c r="D41" s="72" t="s">
        <v>157</v>
      </c>
      <c r="E41" s="71"/>
      <c r="F41" s="28"/>
      <c r="G41" s="30"/>
      <c r="H41" s="30"/>
      <c r="I41" s="39"/>
      <c r="J41" s="30"/>
      <c r="K41" s="32"/>
      <c r="L41" s="32"/>
      <c r="M41" s="3"/>
    </row>
    <row r="42" spans="1:13" ht="43.2" x14ac:dyDescent="0.3">
      <c r="A42" s="32">
        <f t="shared" si="1"/>
        <v>40</v>
      </c>
      <c r="B42" s="67" t="s">
        <v>141</v>
      </c>
      <c r="C42" s="29" t="s">
        <v>158</v>
      </c>
      <c r="D42" s="72" t="s">
        <v>159</v>
      </c>
      <c r="E42" s="71" t="s">
        <v>160</v>
      </c>
      <c r="F42" s="28"/>
      <c r="G42" s="30"/>
      <c r="H42" s="30"/>
      <c r="I42" s="39"/>
      <c r="J42" s="30"/>
      <c r="K42" s="32"/>
      <c r="L42" s="32"/>
      <c r="M42" s="3"/>
    </row>
    <row r="43" spans="1:13" x14ac:dyDescent="0.3">
      <c r="A43" s="32">
        <f t="shared" si="1"/>
        <v>41</v>
      </c>
      <c r="B43" s="67" t="s">
        <v>141</v>
      </c>
      <c r="C43" s="74" t="s">
        <v>161</v>
      </c>
      <c r="D43" s="72" t="s">
        <v>162</v>
      </c>
      <c r="E43" s="71"/>
      <c r="F43" s="29"/>
      <c r="G43" s="30"/>
      <c r="H43" s="30"/>
      <c r="I43" s="39"/>
      <c r="J43" s="30"/>
      <c r="K43" s="32"/>
      <c r="L43" s="32"/>
      <c r="M43" s="3"/>
    </row>
    <row r="44" spans="1:13" ht="28.8" x14ac:dyDescent="0.3">
      <c r="A44" s="32">
        <f t="shared" si="1"/>
        <v>42</v>
      </c>
      <c r="B44" s="66" t="s">
        <v>30</v>
      </c>
      <c r="C44" s="29" t="s">
        <v>163</v>
      </c>
      <c r="D44" s="71" t="s">
        <v>164</v>
      </c>
      <c r="E44" s="71" t="s">
        <v>165</v>
      </c>
      <c r="F44" s="29"/>
      <c r="G44" s="30"/>
      <c r="H44" s="30"/>
      <c r="I44" s="39"/>
      <c r="J44" s="30"/>
      <c r="K44" s="32"/>
      <c r="L44" s="32"/>
      <c r="M44" s="3"/>
    </row>
    <row r="45" spans="1:13" x14ac:dyDescent="0.3">
      <c r="A45" s="32">
        <f t="shared" si="1"/>
        <v>43</v>
      </c>
      <c r="B45" s="66" t="s">
        <v>30</v>
      </c>
      <c r="C45" s="29" t="s">
        <v>166</v>
      </c>
      <c r="D45" s="71" t="s">
        <v>167</v>
      </c>
      <c r="E45" s="71"/>
      <c r="F45" s="45"/>
      <c r="G45" s="30"/>
      <c r="H45" s="30"/>
      <c r="I45" s="39"/>
      <c r="J45" s="30"/>
      <c r="K45" s="32"/>
      <c r="L45" s="32"/>
      <c r="M45" s="3"/>
    </row>
    <row r="46" spans="1:13" ht="28.8" x14ac:dyDescent="0.3">
      <c r="A46" s="32">
        <f t="shared" si="1"/>
        <v>44</v>
      </c>
      <c r="B46" s="66" t="s">
        <v>30</v>
      </c>
      <c r="C46" s="29" t="s">
        <v>168</v>
      </c>
      <c r="D46" s="71" t="s">
        <v>169</v>
      </c>
      <c r="E46" s="71" t="s">
        <v>170</v>
      </c>
      <c r="F46" s="29"/>
      <c r="G46" s="30"/>
      <c r="H46" s="30"/>
      <c r="I46" s="39"/>
      <c r="J46" s="30"/>
      <c r="K46" s="32"/>
      <c r="L46" s="32"/>
      <c r="M46" s="3"/>
    </row>
    <row r="47" spans="1:13" ht="36.6" customHeight="1" x14ac:dyDescent="0.3">
      <c r="A47" s="32">
        <f t="shared" si="1"/>
        <v>45</v>
      </c>
      <c r="B47" s="66" t="s">
        <v>30</v>
      </c>
      <c r="C47" s="29" t="s">
        <v>171</v>
      </c>
      <c r="D47" s="71" t="s">
        <v>172</v>
      </c>
      <c r="E47" s="71"/>
      <c r="F47" s="28"/>
      <c r="G47" s="30"/>
      <c r="H47" s="30"/>
      <c r="I47" s="39"/>
      <c r="J47" s="30"/>
      <c r="K47" s="32"/>
      <c r="L47" s="32"/>
      <c r="M47" s="3"/>
    </row>
    <row r="48" spans="1:13" ht="18.600000000000001" customHeight="1" x14ac:dyDescent="0.3">
      <c r="A48" s="32">
        <f t="shared" si="1"/>
        <v>46</v>
      </c>
      <c r="B48" s="69" t="s">
        <v>30</v>
      </c>
      <c r="C48" s="74" t="s">
        <v>173</v>
      </c>
      <c r="D48" s="71" t="s">
        <v>172</v>
      </c>
      <c r="E48" s="71"/>
      <c r="F48" s="28"/>
      <c r="G48" s="30"/>
      <c r="H48" s="30"/>
      <c r="I48" s="39"/>
      <c r="J48" s="30"/>
      <c r="K48" s="32"/>
      <c r="L48" s="32"/>
      <c r="M48" s="3"/>
    </row>
    <row r="49" spans="1:13" ht="30.6" customHeight="1" x14ac:dyDescent="0.3">
      <c r="A49" s="32">
        <f t="shared" si="1"/>
        <v>47</v>
      </c>
      <c r="B49" s="36" t="s">
        <v>174</v>
      </c>
      <c r="C49" s="29" t="s">
        <v>175</v>
      </c>
      <c r="D49" s="71" t="s">
        <v>176</v>
      </c>
      <c r="E49" s="71" t="s">
        <v>177</v>
      </c>
      <c r="F49" s="28"/>
      <c r="G49" s="30"/>
      <c r="H49" s="30"/>
      <c r="I49" s="39"/>
      <c r="J49" s="30"/>
      <c r="K49" s="32"/>
      <c r="L49" s="32"/>
      <c r="M49" s="3"/>
    </row>
    <row r="50" spans="1:13" ht="40.5" customHeight="1" x14ac:dyDescent="0.3">
      <c r="A50" s="32">
        <f t="shared" si="1"/>
        <v>48</v>
      </c>
      <c r="B50" s="36" t="s">
        <v>174</v>
      </c>
      <c r="C50" s="29" t="s">
        <v>178</v>
      </c>
      <c r="D50" s="71" t="s">
        <v>179</v>
      </c>
      <c r="E50" s="71" t="s">
        <v>180</v>
      </c>
      <c r="F50" s="45"/>
      <c r="G50" s="30"/>
      <c r="H50" s="30"/>
      <c r="I50" s="39"/>
      <c r="J50" s="30"/>
      <c r="K50" s="32"/>
      <c r="L50" s="32"/>
      <c r="M50" s="3"/>
    </row>
    <row r="51" spans="1:13" ht="57.6" x14ac:dyDescent="0.3">
      <c r="A51" s="32">
        <f t="shared" si="1"/>
        <v>49</v>
      </c>
      <c r="B51" s="36" t="s">
        <v>174</v>
      </c>
      <c r="C51" s="29" t="s">
        <v>181</v>
      </c>
      <c r="D51" s="71" t="s">
        <v>182</v>
      </c>
      <c r="E51" s="71" t="s">
        <v>183</v>
      </c>
      <c r="F51" s="29"/>
      <c r="G51" s="30"/>
      <c r="H51" s="30"/>
      <c r="I51" s="39"/>
      <c r="J51" s="30"/>
      <c r="K51" s="32"/>
      <c r="L51" s="32"/>
      <c r="M51" s="3"/>
    </row>
    <row r="52" spans="1:13" ht="43.2" x14ac:dyDescent="0.3">
      <c r="A52" s="32">
        <f t="shared" si="1"/>
        <v>50</v>
      </c>
      <c r="B52" s="36" t="s">
        <v>174</v>
      </c>
      <c r="C52" s="29" t="s">
        <v>184</v>
      </c>
      <c r="D52" s="71" t="s">
        <v>185</v>
      </c>
      <c r="E52" s="71" t="s">
        <v>186</v>
      </c>
      <c r="F52" s="45"/>
      <c r="G52" s="30"/>
      <c r="H52" s="30"/>
      <c r="I52" s="39"/>
      <c r="J52" s="30"/>
      <c r="K52" s="32"/>
      <c r="L52" s="32"/>
      <c r="M52" s="3"/>
    </row>
    <row r="53" spans="1:13" ht="43.2" x14ac:dyDescent="0.3">
      <c r="A53" s="32">
        <f t="shared" si="1"/>
        <v>51</v>
      </c>
      <c r="B53" s="36" t="s">
        <v>174</v>
      </c>
      <c r="C53" s="29" t="s">
        <v>187</v>
      </c>
      <c r="D53" s="71" t="s">
        <v>188</v>
      </c>
      <c r="E53" s="71" t="s">
        <v>186</v>
      </c>
      <c r="F53" s="23"/>
      <c r="G53" s="30"/>
      <c r="H53" s="30"/>
      <c r="I53" s="39"/>
      <c r="J53" s="30"/>
      <c r="K53" s="32"/>
      <c r="L53" s="32"/>
      <c r="M53" s="3"/>
    </row>
    <row r="54" spans="1:13" x14ac:dyDescent="0.3">
      <c r="A54" s="32">
        <f t="shared" si="1"/>
        <v>52</v>
      </c>
      <c r="B54" s="36"/>
      <c r="C54" s="74" t="s">
        <v>189</v>
      </c>
      <c r="D54" s="71" t="s">
        <v>190</v>
      </c>
      <c r="E54" s="71"/>
      <c r="F54" s="23"/>
      <c r="G54" s="30"/>
      <c r="H54" s="30"/>
      <c r="I54" s="39"/>
      <c r="J54" s="30"/>
      <c r="K54" s="32"/>
      <c r="L54" s="32"/>
      <c r="M54" s="3"/>
    </row>
    <row r="55" spans="1:13" ht="28.8" x14ac:dyDescent="0.3">
      <c r="A55" s="32">
        <f t="shared" si="1"/>
        <v>53</v>
      </c>
      <c r="B55" s="68" t="s">
        <v>191</v>
      </c>
      <c r="C55" s="71" t="s">
        <v>192</v>
      </c>
      <c r="D55" s="71" t="s">
        <v>193</v>
      </c>
      <c r="E55" s="71"/>
      <c r="F55" s="23"/>
      <c r="G55" s="30"/>
      <c r="H55" s="30"/>
      <c r="I55" s="39"/>
      <c r="J55" s="30"/>
      <c r="K55" s="32"/>
      <c r="L55" s="32"/>
      <c r="M55" s="3"/>
    </row>
    <row r="56" spans="1:13" ht="28.8" x14ac:dyDescent="0.3">
      <c r="A56" s="32">
        <f t="shared" si="1"/>
        <v>54</v>
      </c>
      <c r="B56" s="37" t="s">
        <v>34</v>
      </c>
      <c r="C56" s="29" t="s">
        <v>194</v>
      </c>
      <c r="D56" s="71" t="s">
        <v>195</v>
      </c>
      <c r="E56" s="71" t="s">
        <v>196</v>
      </c>
      <c r="F56" s="28"/>
      <c r="G56" s="30"/>
      <c r="H56" s="30"/>
      <c r="I56" s="39"/>
      <c r="J56" s="30"/>
      <c r="K56" s="32"/>
      <c r="L56" s="32"/>
      <c r="M56" s="3"/>
    </row>
    <row r="57" spans="1:13" ht="28.8" x14ac:dyDescent="0.3">
      <c r="A57" s="32">
        <f t="shared" si="1"/>
        <v>55</v>
      </c>
      <c r="B57" s="37" t="s">
        <v>34</v>
      </c>
      <c r="C57" s="29" t="s">
        <v>197</v>
      </c>
      <c r="D57" s="71" t="s">
        <v>198</v>
      </c>
      <c r="E57" s="71" t="s">
        <v>199</v>
      </c>
      <c r="F57" s="45"/>
      <c r="G57" s="30"/>
      <c r="H57" s="30"/>
      <c r="I57" s="39"/>
      <c r="J57" s="30"/>
      <c r="K57" s="32"/>
      <c r="L57" s="32"/>
      <c r="M57" s="3"/>
    </row>
    <row r="58" spans="1:13" ht="28.8" x14ac:dyDescent="0.3">
      <c r="A58" s="32">
        <f t="shared" si="1"/>
        <v>56</v>
      </c>
      <c r="B58" s="37" t="s">
        <v>34</v>
      </c>
      <c r="C58" s="29" t="s">
        <v>200</v>
      </c>
      <c r="D58" s="71" t="s">
        <v>201</v>
      </c>
      <c r="E58" s="71"/>
      <c r="F58" s="23"/>
      <c r="G58" s="30"/>
      <c r="H58" s="30"/>
      <c r="I58" s="39"/>
      <c r="J58" s="30"/>
      <c r="K58" s="32"/>
      <c r="L58" s="32"/>
      <c r="M58" s="3"/>
    </row>
    <row r="59" spans="1:13" x14ac:dyDescent="0.3">
      <c r="A59" s="32">
        <f t="shared" si="1"/>
        <v>57</v>
      </c>
      <c r="B59" s="38" t="s">
        <v>35</v>
      </c>
      <c r="C59" s="29" t="s">
        <v>202</v>
      </c>
      <c r="D59" s="71" t="s">
        <v>203</v>
      </c>
      <c r="E59" s="71" t="s">
        <v>204</v>
      </c>
      <c r="F59" s="23"/>
      <c r="G59" s="30"/>
      <c r="H59" s="30"/>
      <c r="I59" s="39"/>
      <c r="J59" s="30"/>
      <c r="K59" s="32"/>
      <c r="L59" s="32"/>
      <c r="M59" s="3"/>
    </row>
    <row r="60" spans="1:13" ht="48" customHeight="1" x14ac:dyDescent="0.3">
      <c r="A60" s="32">
        <f t="shared" si="1"/>
        <v>58</v>
      </c>
      <c r="B60" s="38" t="s">
        <v>35</v>
      </c>
      <c r="C60" s="29" t="s">
        <v>205</v>
      </c>
      <c r="D60" s="71" t="s">
        <v>206</v>
      </c>
      <c r="E60" s="71" t="s">
        <v>207</v>
      </c>
      <c r="F60" s="29"/>
      <c r="G60" s="30"/>
      <c r="H60" s="30"/>
      <c r="I60" s="39"/>
      <c r="J60" s="30"/>
      <c r="K60" s="32"/>
      <c r="L60" s="32"/>
      <c r="M60" s="3"/>
    </row>
    <row r="61" spans="1:13" ht="28.8" x14ac:dyDescent="0.3">
      <c r="A61" s="32">
        <f t="shared" si="1"/>
        <v>59</v>
      </c>
      <c r="B61" s="38" t="str">
        <f>Dashboard!$A$16</f>
        <v>Post-Event Follow-Up</v>
      </c>
      <c r="C61" s="29" t="s">
        <v>208</v>
      </c>
      <c r="D61" s="3" t="s">
        <v>209</v>
      </c>
      <c r="E61" s="71"/>
      <c r="F61" s="45"/>
      <c r="G61" s="30"/>
      <c r="H61" s="30"/>
      <c r="I61" s="39"/>
      <c r="J61" s="30"/>
      <c r="K61" s="32"/>
      <c r="L61" s="32"/>
      <c r="M61" s="3"/>
    </row>
    <row r="62" spans="1:13" x14ac:dyDescent="0.3">
      <c r="A62" s="32">
        <f t="shared" si="1"/>
        <v>60</v>
      </c>
      <c r="B62" s="38" t="str">
        <f>Dashboard!$A$16</f>
        <v>Post-Event Follow-Up</v>
      </c>
      <c r="C62" s="29" t="s">
        <v>210</v>
      </c>
      <c r="D62" s="3" t="s">
        <v>211</v>
      </c>
      <c r="E62" s="71"/>
      <c r="F62" s="29"/>
      <c r="G62" s="30"/>
      <c r="H62" s="30"/>
      <c r="I62" s="39"/>
      <c r="J62" s="30"/>
      <c r="K62" s="32"/>
      <c r="L62" s="32"/>
      <c r="M62" s="3"/>
    </row>
    <row r="63" spans="1:13" x14ac:dyDescent="0.3">
      <c r="A63" s="32"/>
      <c r="B63" s="56"/>
      <c r="C63" s="29"/>
      <c r="D63" s="71"/>
      <c r="E63" s="71"/>
      <c r="F63" s="45"/>
      <c r="G63" s="30"/>
      <c r="H63" s="30"/>
      <c r="I63" s="39"/>
      <c r="J63" s="30"/>
      <c r="K63" s="32"/>
      <c r="L63" s="32"/>
      <c r="M63" s="3"/>
    </row>
    <row r="64" spans="1:13" x14ac:dyDescent="0.3">
      <c r="A64" s="32"/>
      <c r="B64" s="56"/>
      <c r="C64" s="29"/>
      <c r="D64" s="71"/>
      <c r="E64" s="71"/>
      <c r="F64" s="23"/>
      <c r="G64" s="30"/>
      <c r="H64" s="30"/>
      <c r="I64" s="39"/>
      <c r="J64" s="30"/>
      <c r="K64" s="32"/>
      <c r="L64" s="32"/>
      <c r="M64" s="3"/>
    </row>
    <row r="65" spans="1:13" x14ac:dyDescent="0.3">
      <c r="A65" s="32"/>
      <c r="B65" s="56"/>
      <c r="C65" s="71"/>
      <c r="D65" s="71"/>
      <c r="E65" s="71"/>
      <c r="F65" s="23"/>
      <c r="G65" s="30"/>
      <c r="H65" s="30"/>
      <c r="I65" s="39"/>
      <c r="J65" s="30"/>
      <c r="K65" s="32"/>
      <c r="L65" s="32"/>
      <c r="M65" s="3"/>
    </row>
    <row r="66" spans="1:13" x14ac:dyDescent="0.3">
      <c r="A66" s="32"/>
      <c r="B66" s="56"/>
      <c r="C66" s="29"/>
      <c r="D66" s="71"/>
      <c r="E66" s="71"/>
      <c r="F66" s="23"/>
      <c r="G66" s="30"/>
      <c r="H66" s="30"/>
      <c r="I66" s="39"/>
      <c r="J66" s="30"/>
      <c r="K66" s="32"/>
      <c r="L66" s="32"/>
      <c r="M66" s="3"/>
    </row>
    <row r="67" spans="1:13" ht="29.1" customHeight="1" x14ac:dyDescent="0.3">
      <c r="A67" s="32"/>
      <c r="B67" s="56"/>
      <c r="C67" s="29"/>
      <c r="D67" s="71"/>
      <c r="E67" s="71"/>
      <c r="F67" s="23"/>
      <c r="G67" s="30"/>
      <c r="H67" s="30"/>
      <c r="I67" s="39"/>
      <c r="J67" s="30"/>
      <c r="K67" s="32"/>
      <c r="L67" s="32"/>
      <c r="M67" s="3"/>
    </row>
    <row r="68" spans="1:13" ht="61.5" customHeight="1" x14ac:dyDescent="0.3">
      <c r="A68" s="32"/>
      <c r="B68" s="56"/>
      <c r="C68" s="29"/>
      <c r="D68" s="71"/>
      <c r="E68" s="71"/>
      <c r="F68" s="23"/>
      <c r="G68" s="30"/>
      <c r="H68" s="30"/>
      <c r="I68" s="39"/>
      <c r="J68" s="30"/>
      <c r="K68" s="32"/>
      <c r="L68" s="32"/>
      <c r="M68" s="3"/>
    </row>
    <row r="69" spans="1:13" ht="29.1" customHeight="1" x14ac:dyDescent="0.3">
      <c r="A69" s="32"/>
      <c r="B69" s="56"/>
      <c r="C69" s="29"/>
      <c r="D69" s="71"/>
      <c r="E69" s="71"/>
      <c r="F69" s="23"/>
      <c r="G69" s="30"/>
      <c r="H69" s="30"/>
      <c r="I69" s="39"/>
      <c r="J69" s="30"/>
      <c r="K69" s="32"/>
      <c r="L69" s="32"/>
      <c r="M69" s="3"/>
    </row>
    <row r="70" spans="1:13" ht="29.1" customHeight="1" x14ac:dyDescent="0.3">
      <c r="A70" s="32"/>
      <c r="B70" s="56"/>
      <c r="C70" s="29"/>
      <c r="D70" s="71"/>
      <c r="E70" s="71"/>
      <c r="F70" s="23"/>
      <c r="G70" s="30"/>
      <c r="H70" s="30"/>
      <c r="I70" s="39"/>
      <c r="J70" s="30"/>
      <c r="K70" s="32"/>
      <c r="L70" s="32"/>
      <c r="M70" s="3"/>
    </row>
    <row r="71" spans="1:13" x14ac:dyDescent="0.3">
      <c r="A71" s="32"/>
      <c r="B71" s="56"/>
      <c r="C71" s="29"/>
      <c r="D71" s="71"/>
      <c r="E71" s="71"/>
      <c r="F71" s="23"/>
      <c r="G71" s="30"/>
      <c r="H71" s="30"/>
      <c r="I71" s="39"/>
      <c r="J71" s="30"/>
      <c r="K71" s="32"/>
      <c r="L71" s="32"/>
      <c r="M71" s="3"/>
    </row>
    <row r="72" spans="1:13" x14ac:dyDescent="0.3">
      <c r="A72" s="32"/>
      <c r="B72" s="56"/>
      <c r="C72" s="29"/>
      <c r="D72" s="71"/>
      <c r="E72" s="71"/>
      <c r="F72" s="23"/>
      <c r="G72" s="30"/>
      <c r="H72" s="30"/>
      <c r="I72" s="39"/>
      <c r="J72" s="30"/>
      <c r="K72" s="32"/>
      <c r="L72" s="32"/>
      <c r="M72" s="3"/>
    </row>
    <row r="73" spans="1:13" x14ac:dyDescent="0.3">
      <c r="A73" s="32"/>
      <c r="B73" s="56"/>
      <c r="C73" s="29"/>
      <c r="D73" s="73"/>
      <c r="E73" s="71"/>
      <c r="F73" s="29"/>
      <c r="G73" s="30"/>
      <c r="H73" s="30"/>
      <c r="I73" s="39"/>
      <c r="J73" s="30"/>
      <c r="K73" s="32"/>
      <c r="L73" s="32"/>
      <c r="M73" s="3"/>
    </row>
    <row r="74" spans="1:13" ht="29.1" customHeight="1" x14ac:dyDescent="0.3">
      <c r="A74" s="32"/>
      <c r="B74" s="56"/>
      <c r="C74" s="29"/>
      <c r="D74" s="71"/>
      <c r="E74" s="71"/>
      <c r="F74" s="45"/>
      <c r="G74" s="30"/>
      <c r="H74" s="30"/>
      <c r="I74" s="39"/>
      <c r="J74" s="30"/>
      <c r="K74" s="32"/>
      <c r="L74" s="32"/>
      <c r="M74" s="3"/>
    </row>
    <row r="75" spans="1:13" x14ac:dyDescent="0.3">
      <c r="A75" s="32"/>
      <c r="B75" s="56"/>
      <c r="C75" s="29"/>
      <c r="D75" s="71"/>
      <c r="E75" s="71"/>
      <c r="F75" s="29"/>
      <c r="G75" s="30"/>
      <c r="H75" s="30"/>
      <c r="I75" s="39"/>
      <c r="J75" s="30"/>
      <c r="K75" s="32"/>
      <c r="L75" s="32"/>
      <c r="M75" s="3"/>
    </row>
  </sheetData>
  <mergeCells count="1">
    <mergeCell ref="A1:D1"/>
  </mergeCells>
  <conditionalFormatting sqref="L4:L11 L13:L85">
    <cfRule type="containsText" dxfId="9" priority="3" operator="containsText" text="In Progress">
      <formula>NOT(ISERROR(SEARCH("In Progress",L4)))</formula>
    </cfRule>
    <cfRule type="containsText" dxfId="8" priority="4" operator="containsText" text="Complete">
      <formula>NOT(ISERROR(SEARCH("Complete",L4)))</formula>
    </cfRule>
  </conditionalFormatting>
  <dataValidations count="1">
    <dataValidation type="list" allowBlank="1" showInputMessage="1" showErrorMessage="1" sqref="L4:L11 L13:L75" xr:uid="{78C07AF5-E3A2-469A-8860-97B2D7D65CB3}">
      <formula1>"Complete, In progress, --"</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D568CEA-3D9F-4C82-9B6C-4CC68C413A55}">
          <x14:formula1>
            <xm:f>Dashboard!$A$20:$A$30</xm:f>
          </x14:formula1>
          <xm:sqref>K4:K11 K13:K75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3DF30-5C37-4041-BD9E-8660185DAC1B}">
  <dimension ref="A1:N48"/>
  <sheetViews>
    <sheetView tabSelected="1" topLeftCell="A12" zoomScale="85" zoomScaleNormal="100" workbookViewId="0">
      <selection activeCell="D33" sqref="D33"/>
    </sheetView>
  </sheetViews>
  <sheetFormatPr defaultRowHeight="14.4" x14ac:dyDescent="0.3"/>
  <cols>
    <col min="1" max="1" width="6.33203125" customWidth="1"/>
    <col min="2" max="2" width="26" style="2" customWidth="1"/>
    <col min="3" max="4" width="42" style="1" customWidth="1"/>
    <col min="5" max="5" width="65" style="1" customWidth="1"/>
    <col min="6" max="6" width="31.88671875" style="1" customWidth="1"/>
    <col min="7" max="7" width="24" style="43" customWidth="1"/>
    <col min="8" max="9" width="16" style="40" customWidth="1"/>
    <col min="10" max="10" width="16" style="41" customWidth="1"/>
    <col min="11" max="11" width="16" customWidth="1"/>
    <col min="12" max="12" width="18" customWidth="1"/>
    <col min="13" max="13" width="23.44140625" customWidth="1"/>
    <col min="14" max="14" width="26" customWidth="1"/>
  </cols>
  <sheetData>
    <row r="1" spans="1:14" x14ac:dyDescent="0.3">
      <c r="A1" s="81" t="s">
        <v>51</v>
      </c>
      <c r="B1" s="81"/>
      <c r="C1" s="81"/>
      <c r="D1" s="81"/>
      <c r="E1" s="81"/>
      <c r="F1" s="16"/>
      <c r="G1" s="16"/>
      <c r="H1" s="16"/>
      <c r="I1" s="16"/>
      <c r="J1" s="16"/>
      <c r="K1" s="16"/>
      <c r="L1" s="4"/>
      <c r="M1" s="4"/>
      <c r="N1" s="4"/>
    </row>
    <row r="2" spans="1:14" ht="32.1" customHeight="1" x14ac:dyDescent="0.3">
      <c r="A2" s="31" t="s">
        <v>52</v>
      </c>
      <c r="B2" s="31" t="s">
        <v>8</v>
      </c>
      <c r="C2" s="31" t="s">
        <v>53</v>
      </c>
      <c r="D2" s="31"/>
      <c r="E2" s="31" t="s">
        <v>54</v>
      </c>
      <c r="F2" s="31" t="s">
        <v>55</v>
      </c>
      <c r="G2" s="31" t="s">
        <v>56</v>
      </c>
      <c r="H2" s="31" t="s">
        <v>57</v>
      </c>
      <c r="I2" s="31" t="s">
        <v>58</v>
      </c>
      <c r="J2" s="31" t="s">
        <v>59</v>
      </c>
      <c r="K2" s="31" t="s">
        <v>60</v>
      </c>
      <c r="L2" s="31" t="s">
        <v>16</v>
      </c>
      <c r="M2" s="31" t="s">
        <v>61</v>
      </c>
      <c r="N2" s="31" t="s">
        <v>62</v>
      </c>
    </row>
    <row r="3" spans="1:14" ht="32.1" customHeight="1" x14ac:dyDescent="0.3">
      <c r="A3" s="52"/>
      <c r="B3" s="53"/>
      <c r="C3" s="58" t="s">
        <v>212</v>
      </c>
      <c r="D3" s="52"/>
      <c r="E3" s="52"/>
      <c r="F3" s="52"/>
      <c r="G3" s="53"/>
      <c r="H3" s="52"/>
      <c r="I3" s="52"/>
      <c r="J3" s="52"/>
      <c r="K3" s="52"/>
      <c r="L3" s="52"/>
      <c r="M3" s="52"/>
      <c r="N3" s="52"/>
    </row>
    <row r="4" spans="1:14" ht="54.9" customHeight="1" x14ac:dyDescent="0.3">
      <c r="A4" s="32">
        <v>1</v>
      </c>
      <c r="B4" s="33" t="s">
        <v>63</v>
      </c>
      <c r="C4" s="59" t="s">
        <v>213</v>
      </c>
      <c r="D4" s="59" t="s">
        <v>214</v>
      </c>
      <c r="E4" s="3" t="s">
        <v>215</v>
      </c>
      <c r="F4" s="46" t="s">
        <v>216</v>
      </c>
      <c r="G4" s="79" t="s">
        <v>217</v>
      </c>
      <c r="H4" s="30">
        <v>46223</v>
      </c>
      <c r="I4" s="30">
        <v>46225</v>
      </c>
      <c r="J4" s="39">
        <f t="shared" ref="J4:J48" si="0">_xlfn.DAYS(I4,H4)</f>
        <v>2</v>
      </c>
      <c r="K4" s="30"/>
      <c r="L4" s="32" t="s">
        <v>38</v>
      </c>
      <c r="M4" s="32" t="s">
        <v>218</v>
      </c>
      <c r="N4" s="3"/>
    </row>
    <row r="5" spans="1:14" ht="69" customHeight="1" x14ac:dyDescent="0.3">
      <c r="A5" s="32">
        <v>2</v>
      </c>
      <c r="B5" s="33" t="s">
        <v>63</v>
      </c>
      <c r="C5" s="59" t="s">
        <v>219</v>
      </c>
      <c r="D5" s="59" t="s">
        <v>220</v>
      </c>
      <c r="E5" s="3" t="s">
        <v>221</v>
      </c>
      <c r="F5" s="46" t="s">
        <v>222</v>
      </c>
      <c r="G5" s="82"/>
      <c r="H5" s="30">
        <v>46225</v>
      </c>
      <c r="I5" s="30">
        <v>46228</v>
      </c>
      <c r="J5" s="39">
        <f t="shared" si="0"/>
        <v>3</v>
      </c>
      <c r="K5" s="30"/>
      <c r="L5" s="32" t="s">
        <v>40</v>
      </c>
      <c r="M5" s="32" t="s">
        <v>223</v>
      </c>
      <c r="N5" s="3"/>
    </row>
    <row r="6" spans="1:14" ht="29.1" customHeight="1" x14ac:dyDescent="0.3">
      <c r="A6" s="32">
        <v>3</v>
      </c>
      <c r="B6" s="33" t="str">
        <f>Dashboard!$A$11</f>
        <v>Pre-Event Planning</v>
      </c>
      <c r="C6" s="59" t="s">
        <v>224</v>
      </c>
      <c r="D6" s="59" t="s">
        <v>225</v>
      </c>
      <c r="E6" s="3" t="s">
        <v>226</v>
      </c>
      <c r="F6" s="46" t="s">
        <v>216</v>
      </c>
      <c r="G6" s="79" t="s">
        <v>227</v>
      </c>
      <c r="H6" s="30"/>
      <c r="I6" s="30"/>
      <c r="J6" s="39">
        <f>_xlfn.DAYS(I6,H6)</f>
        <v>0</v>
      </c>
      <c r="K6" s="30"/>
      <c r="L6" s="32" t="s">
        <v>39</v>
      </c>
      <c r="M6" s="32" t="s">
        <v>218</v>
      </c>
      <c r="N6" s="3"/>
    </row>
    <row r="7" spans="1:14" ht="30.9" customHeight="1" x14ac:dyDescent="0.3">
      <c r="A7" s="32">
        <v>4</v>
      </c>
      <c r="B7" s="33" t="str">
        <f>Dashboard!$A$11</f>
        <v>Pre-Event Planning</v>
      </c>
      <c r="C7" s="59" t="s">
        <v>228</v>
      </c>
      <c r="D7" s="3"/>
      <c r="E7" s="3" t="s">
        <v>229</v>
      </c>
      <c r="F7" s="46" t="s">
        <v>216</v>
      </c>
      <c r="G7" s="80"/>
      <c r="H7" s="30"/>
      <c r="I7" s="30"/>
      <c r="J7" s="39">
        <f t="shared" si="0"/>
        <v>0</v>
      </c>
      <c r="K7" s="30"/>
      <c r="L7" s="32" t="s">
        <v>38</v>
      </c>
      <c r="M7" s="32"/>
      <c r="N7" s="3"/>
    </row>
    <row r="8" spans="1:14" ht="28.8" x14ac:dyDescent="0.3">
      <c r="A8" s="32">
        <v>5</v>
      </c>
      <c r="B8" s="33" t="str">
        <f>Dashboard!$A$11</f>
        <v>Pre-Event Planning</v>
      </c>
      <c r="C8" s="59" t="s">
        <v>230</v>
      </c>
      <c r="D8" s="3"/>
      <c r="E8" s="3" t="s">
        <v>231</v>
      </c>
      <c r="F8" s="46" t="s">
        <v>216</v>
      </c>
      <c r="G8" s="80"/>
      <c r="H8" s="30"/>
      <c r="I8" s="30"/>
      <c r="J8" s="39">
        <f t="shared" si="0"/>
        <v>0</v>
      </c>
      <c r="K8" s="30"/>
      <c r="L8" s="32" t="s">
        <v>38</v>
      </c>
      <c r="M8" s="32"/>
      <c r="N8" s="3"/>
    </row>
    <row r="9" spans="1:14" ht="28.8" x14ac:dyDescent="0.3">
      <c r="A9" s="32">
        <v>6</v>
      </c>
      <c r="B9" s="33" t="str">
        <f>Dashboard!$A$11</f>
        <v>Pre-Event Planning</v>
      </c>
      <c r="C9" s="59" t="s">
        <v>232</v>
      </c>
      <c r="D9" s="3"/>
      <c r="E9" s="3" t="s">
        <v>233</v>
      </c>
      <c r="F9" s="46" t="s">
        <v>216</v>
      </c>
      <c r="G9" s="82"/>
      <c r="H9" s="30"/>
      <c r="I9" s="30"/>
      <c r="J9" s="39">
        <f t="shared" si="0"/>
        <v>0</v>
      </c>
      <c r="K9" s="30"/>
      <c r="L9" s="32"/>
      <c r="M9" s="32"/>
      <c r="N9" s="3"/>
    </row>
    <row r="10" spans="1:14" ht="43.2" x14ac:dyDescent="0.3">
      <c r="A10" s="32">
        <v>7</v>
      </c>
      <c r="B10" s="33" t="str">
        <f>Dashboard!$A$11</f>
        <v>Pre-Event Planning</v>
      </c>
      <c r="C10" s="59" t="s">
        <v>234</v>
      </c>
      <c r="D10" s="61" t="s">
        <v>235</v>
      </c>
      <c r="E10" s="5" t="s">
        <v>236</v>
      </c>
      <c r="F10" s="46" t="s">
        <v>237</v>
      </c>
      <c r="G10" s="28" t="s">
        <v>217</v>
      </c>
      <c r="H10" s="30"/>
      <c r="I10" s="30"/>
      <c r="J10" s="39">
        <f t="shared" si="0"/>
        <v>0</v>
      </c>
      <c r="K10" s="30"/>
      <c r="L10" s="32"/>
      <c r="M10" s="32"/>
      <c r="N10" s="3"/>
    </row>
    <row r="11" spans="1:14" ht="28.8" x14ac:dyDescent="0.3">
      <c r="A11" s="32">
        <v>8</v>
      </c>
      <c r="B11" s="34" t="str">
        <f>Dashboard!$A$12</f>
        <v>Outreach &amp; Registration</v>
      </c>
      <c r="C11" s="3" t="s">
        <v>238</v>
      </c>
      <c r="D11" s="5"/>
      <c r="E11" s="5" t="s">
        <v>239</v>
      </c>
      <c r="F11" s="46" t="s">
        <v>216</v>
      </c>
      <c r="G11" s="79" t="s">
        <v>240</v>
      </c>
      <c r="H11" s="30"/>
      <c r="I11" s="30"/>
      <c r="J11" s="39">
        <f t="shared" si="0"/>
        <v>0</v>
      </c>
      <c r="K11" s="30"/>
      <c r="L11" s="32"/>
      <c r="M11" s="32"/>
      <c r="N11" s="3"/>
    </row>
    <row r="12" spans="1:14" ht="43.2" x14ac:dyDescent="0.3">
      <c r="A12" s="32">
        <v>9</v>
      </c>
      <c r="B12" s="34" t="str">
        <f>Dashboard!$A$12</f>
        <v>Outreach &amp; Registration</v>
      </c>
      <c r="C12" s="3" t="s">
        <v>241</v>
      </c>
      <c r="D12" s="5"/>
      <c r="E12" s="5" t="s">
        <v>242</v>
      </c>
      <c r="F12" s="47" t="s">
        <v>243</v>
      </c>
      <c r="G12" s="80"/>
      <c r="H12" s="30"/>
      <c r="I12" s="30"/>
      <c r="J12" s="39">
        <f t="shared" si="0"/>
        <v>0</v>
      </c>
      <c r="K12" s="30"/>
      <c r="L12" s="32"/>
      <c r="M12" s="32"/>
      <c r="N12" s="3"/>
    </row>
    <row r="13" spans="1:14" x14ac:dyDescent="0.3">
      <c r="A13" s="32">
        <v>10</v>
      </c>
      <c r="B13" s="33" t="s">
        <v>244</v>
      </c>
      <c r="C13" s="59" t="s">
        <v>245</v>
      </c>
      <c r="D13" s="3"/>
      <c r="E13" s="3" t="s">
        <v>246</v>
      </c>
      <c r="F13" s="46" t="s">
        <v>216</v>
      </c>
      <c r="G13" s="80" t="s">
        <v>247</v>
      </c>
      <c r="H13" s="30"/>
      <c r="I13" s="30"/>
      <c r="J13" s="39">
        <f t="shared" si="0"/>
        <v>0</v>
      </c>
      <c r="K13" s="30"/>
      <c r="L13" s="32"/>
      <c r="M13" s="32"/>
      <c r="N13" s="3"/>
    </row>
    <row r="14" spans="1:14" x14ac:dyDescent="0.3">
      <c r="A14" s="32">
        <v>11</v>
      </c>
      <c r="B14" s="33" t="s">
        <v>244</v>
      </c>
      <c r="C14" s="59" t="s">
        <v>248</v>
      </c>
      <c r="D14" s="3"/>
      <c r="E14" s="3" t="s">
        <v>249</v>
      </c>
      <c r="F14" s="46" t="s">
        <v>216</v>
      </c>
      <c r="G14" s="82"/>
      <c r="H14" s="30"/>
      <c r="I14" s="30"/>
      <c r="J14" s="39">
        <f t="shared" si="0"/>
        <v>0</v>
      </c>
      <c r="K14" s="30"/>
      <c r="L14" s="32"/>
      <c r="M14" s="32"/>
      <c r="N14" s="3"/>
    </row>
    <row r="15" spans="1:14" ht="28.8" x14ac:dyDescent="0.3">
      <c r="A15" s="32">
        <v>12</v>
      </c>
      <c r="B15" s="33" t="s">
        <v>244</v>
      </c>
      <c r="C15" s="59" t="s">
        <v>250</v>
      </c>
      <c r="D15" s="3"/>
      <c r="E15" s="3" t="s">
        <v>251</v>
      </c>
      <c r="F15" s="46" t="s">
        <v>216</v>
      </c>
      <c r="G15" s="79" t="s">
        <v>217</v>
      </c>
      <c r="H15" s="30"/>
      <c r="I15" s="30"/>
      <c r="J15" s="39">
        <f t="shared" si="0"/>
        <v>0</v>
      </c>
      <c r="K15" s="30"/>
      <c r="L15" s="32"/>
      <c r="M15" s="32"/>
      <c r="N15" s="3"/>
    </row>
    <row r="16" spans="1:14" ht="28.8" x14ac:dyDescent="0.3">
      <c r="A16" s="32">
        <v>13</v>
      </c>
      <c r="B16" s="33" t="s">
        <v>244</v>
      </c>
      <c r="C16" s="59" t="s">
        <v>252</v>
      </c>
      <c r="D16" s="3"/>
      <c r="E16" s="3" t="s">
        <v>253</v>
      </c>
      <c r="F16" s="46" t="s">
        <v>254</v>
      </c>
      <c r="G16" s="82"/>
      <c r="H16" s="30"/>
      <c r="I16" s="30"/>
      <c r="J16" s="39">
        <f t="shared" si="0"/>
        <v>0</v>
      </c>
      <c r="K16" s="30"/>
      <c r="L16" s="32"/>
      <c r="M16" s="32"/>
      <c r="N16" s="3"/>
    </row>
    <row r="17" spans="1:14" ht="53.1" customHeight="1" x14ac:dyDescent="0.3">
      <c r="A17" s="32">
        <v>14</v>
      </c>
      <c r="B17" s="34" t="str">
        <f>Dashboard!$A$12</f>
        <v>Outreach &amp; Registration</v>
      </c>
      <c r="C17" s="59" t="s">
        <v>255</v>
      </c>
      <c r="D17" s="8" t="s">
        <v>256</v>
      </c>
      <c r="E17" s="3" t="s">
        <v>257</v>
      </c>
      <c r="F17" s="46" t="s">
        <v>258</v>
      </c>
      <c r="G17" s="28" t="s">
        <v>240</v>
      </c>
      <c r="H17" s="30"/>
      <c r="I17" s="30"/>
      <c r="J17" s="39">
        <f t="shared" si="0"/>
        <v>0</v>
      </c>
      <c r="K17" s="30"/>
      <c r="L17" s="32"/>
      <c r="M17" s="32"/>
      <c r="N17" s="3"/>
    </row>
    <row r="18" spans="1:14" ht="30.6" customHeight="1" x14ac:dyDescent="0.3">
      <c r="A18" s="32">
        <v>15</v>
      </c>
      <c r="B18" s="33" t="s">
        <v>244</v>
      </c>
      <c r="C18" s="59" t="s">
        <v>259</v>
      </c>
      <c r="D18" s="3"/>
      <c r="E18" s="3" t="s">
        <v>260</v>
      </c>
      <c r="F18" s="46" t="s">
        <v>261</v>
      </c>
      <c r="G18" s="28" t="s">
        <v>240</v>
      </c>
      <c r="H18" s="30"/>
      <c r="I18" s="30"/>
      <c r="J18" s="39">
        <f t="shared" si="0"/>
        <v>0</v>
      </c>
      <c r="K18" s="30"/>
      <c r="L18" s="32"/>
      <c r="M18" s="32"/>
      <c r="N18" s="3"/>
    </row>
    <row r="19" spans="1:14" ht="29.1" customHeight="1" x14ac:dyDescent="0.3">
      <c r="A19" s="32">
        <v>16</v>
      </c>
      <c r="B19" s="33" t="s">
        <v>244</v>
      </c>
      <c r="C19" s="59" t="s">
        <v>262</v>
      </c>
      <c r="D19" s="3"/>
      <c r="E19" s="3" t="s">
        <v>263</v>
      </c>
      <c r="F19" s="46" t="s">
        <v>264</v>
      </c>
      <c r="G19" s="79" t="s">
        <v>265</v>
      </c>
      <c r="H19" s="30"/>
      <c r="I19" s="30"/>
      <c r="J19" s="39">
        <f t="shared" si="0"/>
        <v>0</v>
      </c>
      <c r="K19" s="30"/>
      <c r="L19" s="32"/>
      <c r="M19" s="32"/>
      <c r="N19" s="3"/>
    </row>
    <row r="20" spans="1:14" ht="28.8" x14ac:dyDescent="0.3">
      <c r="A20" s="32">
        <v>17</v>
      </c>
      <c r="B20" s="33" t="s">
        <v>244</v>
      </c>
      <c r="C20" s="3"/>
      <c r="D20" s="3"/>
      <c r="E20" s="3" t="s">
        <v>266</v>
      </c>
      <c r="F20" s="46" t="s">
        <v>267</v>
      </c>
      <c r="G20" s="82"/>
      <c r="H20" s="30"/>
      <c r="I20" s="30"/>
      <c r="J20" s="39">
        <f t="shared" si="0"/>
        <v>0</v>
      </c>
      <c r="K20" s="30"/>
      <c r="L20" s="32"/>
      <c r="M20" s="32"/>
      <c r="N20" s="3"/>
    </row>
    <row r="21" spans="1:14" x14ac:dyDescent="0.3">
      <c r="A21" s="32">
        <v>18</v>
      </c>
      <c r="B21" s="35" t="str">
        <f>Dashboard!$A$13</f>
        <v>Pre-Event Logistics</v>
      </c>
      <c r="C21" s="59" t="s">
        <v>268</v>
      </c>
      <c r="D21" s="3"/>
      <c r="E21" s="3" t="s">
        <v>269</v>
      </c>
      <c r="F21" s="46" t="s">
        <v>216</v>
      </c>
      <c r="G21" s="79" t="s">
        <v>270</v>
      </c>
      <c r="H21" s="30"/>
      <c r="I21" s="30"/>
      <c r="J21" s="39">
        <f t="shared" si="0"/>
        <v>0</v>
      </c>
      <c r="K21" s="30"/>
      <c r="L21" s="32"/>
      <c r="M21" s="32"/>
      <c r="N21" s="3"/>
    </row>
    <row r="22" spans="1:14" x14ac:dyDescent="0.3">
      <c r="A22" s="32"/>
      <c r="B22" s="35" t="str">
        <f>Dashboard!$A$13</f>
        <v>Pre-Event Logistics</v>
      </c>
      <c r="C22" s="59" t="s">
        <v>271</v>
      </c>
      <c r="D22" s="3"/>
      <c r="E22" s="3" t="s">
        <v>272</v>
      </c>
      <c r="F22" s="46" t="s">
        <v>216</v>
      </c>
      <c r="G22" s="80"/>
      <c r="H22" s="30"/>
      <c r="I22" s="30"/>
      <c r="J22" s="39"/>
      <c r="K22" s="30"/>
      <c r="L22" s="32"/>
      <c r="M22" s="32"/>
      <c r="N22" s="3"/>
    </row>
    <row r="23" spans="1:14" ht="28.8" x14ac:dyDescent="0.3">
      <c r="A23" s="32">
        <v>19</v>
      </c>
      <c r="B23" s="35" t="str">
        <f>Dashboard!$A$13</f>
        <v>Pre-Event Logistics</v>
      </c>
      <c r="C23" s="59" t="s">
        <v>273</v>
      </c>
      <c r="D23" s="3"/>
      <c r="E23" s="3" t="s">
        <v>274</v>
      </c>
      <c r="F23" s="46" t="s">
        <v>275</v>
      </c>
      <c r="G23" s="80"/>
      <c r="H23" s="30"/>
      <c r="I23" s="30"/>
      <c r="J23" s="39">
        <f t="shared" si="0"/>
        <v>0</v>
      </c>
      <c r="K23" s="30"/>
      <c r="L23" s="32"/>
      <c r="M23" s="32"/>
      <c r="N23" s="3"/>
    </row>
    <row r="24" spans="1:14" ht="28.8" x14ac:dyDescent="0.3">
      <c r="A24" s="32">
        <v>20</v>
      </c>
      <c r="B24" s="35" t="str">
        <f>Dashboard!$A$13</f>
        <v>Pre-Event Logistics</v>
      </c>
      <c r="C24" s="59" t="s">
        <v>276</v>
      </c>
      <c r="D24" s="3"/>
      <c r="E24" s="3" t="s">
        <v>277</v>
      </c>
      <c r="F24" s="46" t="s">
        <v>216</v>
      </c>
      <c r="G24" s="80"/>
      <c r="H24" s="30"/>
      <c r="I24" s="30"/>
      <c r="J24" s="39">
        <f t="shared" si="0"/>
        <v>0</v>
      </c>
      <c r="K24" s="30"/>
      <c r="L24" s="32"/>
      <c r="M24" s="32"/>
      <c r="N24" s="3"/>
    </row>
    <row r="25" spans="1:14" x14ac:dyDescent="0.3">
      <c r="A25" s="32">
        <v>21</v>
      </c>
      <c r="B25" s="35" t="str">
        <f>Dashboard!$A$13</f>
        <v>Pre-Event Logistics</v>
      </c>
      <c r="C25" s="59" t="s">
        <v>278</v>
      </c>
      <c r="D25" s="3" t="s">
        <v>279</v>
      </c>
      <c r="E25" s="3" t="s">
        <v>280</v>
      </c>
      <c r="F25" s="46" t="s">
        <v>216</v>
      </c>
      <c r="G25" s="80"/>
      <c r="H25" s="30"/>
      <c r="I25" s="30"/>
      <c r="J25" s="39">
        <f t="shared" si="0"/>
        <v>0</v>
      </c>
      <c r="K25" s="30"/>
      <c r="L25" s="32"/>
      <c r="M25" s="32"/>
      <c r="N25" s="3"/>
    </row>
    <row r="26" spans="1:14" ht="28.8" x14ac:dyDescent="0.3">
      <c r="A26" s="32">
        <v>22</v>
      </c>
      <c r="B26" s="33" t="s">
        <v>244</v>
      </c>
      <c r="C26" s="59" t="s">
        <v>281</v>
      </c>
      <c r="D26" s="3"/>
      <c r="E26" s="3" t="s">
        <v>282</v>
      </c>
      <c r="F26" s="46" t="s">
        <v>216</v>
      </c>
      <c r="G26" s="82"/>
      <c r="H26" s="30"/>
      <c r="I26" s="30"/>
      <c r="J26" s="39">
        <f t="shared" si="0"/>
        <v>0</v>
      </c>
      <c r="K26" s="30"/>
      <c r="L26" s="32"/>
      <c r="M26" s="32"/>
      <c r="N26" s="3"/>
    </row>
    <row r="27" spans="1:14" ht="28.8" x14ac:dyDescent="0.3">
      <c r="A27" s="32"/>
      <c r="B27" s="51"/>
      <c r="C27" s="59" t="s">
        <v>283</v>
      </c>
      <c r="D27" s="3"/>
      <c r="E27" s="3"/>
      <c r="F27" s="46"/>
      <c r="G27" s="44"/>
      <c r="H27" s="30"/>
      <c r="I27" s="30"/>
      <c r="J27" s="39"/>
      <c r="K27" s="30"/>
      <c r="L27" s="32"/>
      <c r="M27" s="32"/>
      <c r="N27" s="3"/>
    </row>
    <row r="28" spans="1:14" ht="28.8" x14ac:dyDescent="0.3">
      <c r="A28" s="32">
        <v>23</v>
      </c>
      <c r="B28" s="36" t="str">
        <f>Dashboard!$A$14</f>
        <v>1 Week Prior Event Planning</v>
      </c>
      <c r="C28" s="59" t="s">
        <v>284</v>
      </c>
      <c r="D28" s="3"/>
      <c r="E28" s="3" t="s">
        <v>285</v>
      </c>
      <c r="F28" s="46" t="s">
        <v>286</v>
      </c>
      <c r="G28" s="79" t="s">
        <v>247</v>
      </c>
      <c r="H28" s="30"/>
      <c r="I28" s="30"/>
      <c r="J28" s="39">
        <f t="shared" si="0"/>
        <v>0</v>
      </c>
      <c r="K28" s="30"/>
      <c r="L28" s="32"/>
      <c r="M28" s="32"/>
      <c r="N28" s="3"/>
    </row>
    <row r="29" spans="1:14" ht="28.8" x14ac:dyDescent="0.3">
      <c r="A29" s="32">
        <v>24</v>
      </c>
      <c r="B29" s="36" t="str">
        <f>Dashboard!$A$14</f>
        <v>1 Week Prior Event Planning</v>
      </c>
      <c r="C29" s="59" t="s">
        <v>287</v>
      </c>
      <c r="D29" s="3"/>
      <c r="E29" s="3" t="s">
        <v>288</v>
      </c>
      <c r="F29" s="46" t="s">
        <v>286</v>
      </c>
      <c r="G29" s="82"/>
      <c r="H29" s="30"/>
      <c r="I29" s="30"/>
      <c r="J29" s="39">
        <f t="shared" si="0"/>
        <v>0</v>
      </c>
      <c r="K29" s="30"/>
      <c r="L29" s="32"/>
      <c r="M29" s="32"/>
      <c r="N29" s="3"/>
    </row>
    <row r="30" spans="1:14" x14ac:dyDescent="0.3">
      <c r="A30" s="32">
        <v>25</v>
      </c>
      <c r="B30" s="36" t="str">
        <f>Dashboard!$A$14</f>
        <v>1 Week Prior Event Planning</v>
      </c>
      <c r="C30" s="59" t="s">
        <v>289</v>
      </c>
      <c r="D30" s="3" t="s">
        <v>290</v>
      </c>
      <c r="E30" s="3" t="s">
        <v>291</v>
      </c>
      <c r="F30" s="46" t="s">
        <v>216</v>
      </c>
      <c r="G30" s="79" t="s">
        <v>217</v>
      </c>
      <c r="H30" s="30"/>
      <c r="I30" s="30"/>
      <c r="J30" s="39">
        <f t="shared" si="0"/>
        <v>0</v>
      </c>
      <c r="K30" s="30"/>
      <c r="L30" s="32"/>
      <c r="M30" s="32"/>
      <c r="N30" s="3"/>
    </row>
    <row r="31" spans="1:14" x14ac:dyDescent="0.3">
      <c r="A31" s="32">
        <v>26</v>
      </c>
      <c r="B31" s="36" t="s">
        <v>174</v>
      </c>
      <c r="C31" s="59" t="s">
        <v>292</v>
      </c>
      <c r="D31" s="3"/>
      <c r="E31" s="3" t="s">
        <v>293</v>
      </c>
      <c r="F31" s="46" t="s">
        <v>216</v>
      </c>
      <c r="G31" s="80"/>
      <c r="H31" s="30"/>
      <c r="I31" s="30"/>
      <c r="J31" s="39">
        <f t="shared" si="0"/>
        <v>0</v>
      </c>
      <c r="K31" s="30"/>
      <c r="L31" s="32"/>
      <c r="M31" s="32"/>
      <c r="N31" s="3"/>
    </row>
    <row r="32" spans="1:14" x14ac:dyDescent="0.3">
      <c r="A32" s="32">
        <v>27</v>
      </c>
      <c r="B32" s="36" t="s">
        <v>174</v>
      </c>
      <c r="C32" s="59" t="s">
        <v>294</v>
      </c>
      <c r="D32" s="3"/>
      <c r="E32" s="3" t="s">
        <v>295</v>
      </c>
      <c r="F32" s="46" t="s">
        <v>216</v>
      </c>
      <c r="G32" s="80"/>
      <c r="H32" s="30"/>
      <c r="I32" s="30"/>
      <c r="J32" s="39">
        <f t="shared" si="0"/>
        <v>0</v>
      </c>
      <c r="K32" s="30"/>
      <c r="L32" s="32"/>
      <c r="M32" s="32"/>
      <c r="N32" s="3"/>
    </row>
    <row r="33" spans="1:14" ht="48" customHeight="1" x14ac:dyDescent="0.3">
      <c r="A33" s="32">
        <v>28</v>
      </c>
      <c r="B33" s="36" t="s">
        <v>174</v>
      </c>
      <c r="C33" s="59" t="s">
        <v>296</v>
      </c>
      <c r="D33" s="8" t="s">
        <v>297</v>
      </c>
      <c r="E33" s="3" t="s">
        <v>298</v>
      </c>
      <c r="F33" s="46" t="s">
        <v>299</v>
      </c>
      <c r="G33" s="82"/>
      <c r="H33" s="30"/>
      <c r="I33" s="30"/>
      <c r="J33" s="39">
        <f t="shared" si="0"/>
        <v>0</v>
      </c>
      <c r="K33" s="30"/>
      <c r="L33" s="32"/>
      <c r="M33" s="32"/>
      <c r="N33" s="3"/>
    </row>
    <row r="34" spans="1:14" ht="28.8" x14ac:dyDescent="0.3">
      <c r="A34" s="32">
        <v>29</v>
      </c>
      <c r="B34" s="36" t="s">
        <v>174</v>
      </c>
      <c r="C34" s="59" t="s">
        <v>300</v>
      </c>
      <c r="D34" s="3"/>
      <c r="E34" s="3" t="s">
        <v>301</v>
      </c>
      <c r="F34" s="46" t="s">
        <v>302</v>
      </c>
      <c r="G34" s="79" t="s">
        <v>240</v>
      </c>
      <c r="H34" s="30"/>
      <c r="I34" s="30"/>
      <c r="J34" s="39">
        <f t="shared" si="0"/>
        <v>0</v>
      </c>
      <c r="K34" s="30"/>
      <c r="L34" s="32"/>
      <c r="M34" s="32"/>
      <c r="N34" s="3"/>
    </row>
    <row r="35" spans="1:14" ht="28.8" x14ac:dyDescent="0.3">
      <c r="A35" s="32">
        <v>30</v>
      </c>
      <c r="B35" s="36" t="s">
        <v>174</v>
      </c>
      <c r="C35" s="59" t="s">
        <v>303</v>
      </c>
      <c r="D35" s="3"/>
      <c r="E35" s="3" t="s">
        <v>304</v>
      </c>
      <c r="F35" s="46" t="s">
        <v>302</v>
      </c>
      <c r="G35" s="82"/>
      <c r="H35" s="30"/>
      <c r="I35" s="30"/>
      <c r="J35" s="39">
        <f t="shared" si="0"/>
        <v>0</v>
      </c>
      <c r="K35" s="30"/>
      <c r="L35" s="32"/>
      <c r="M35" s="32"/>
      <c r="N35" s="3"/>
    </row>
    <row r="36" spans="1:14" x14ac:dyDescent="0.3">
      <c r="A36" s="32">
        <v>31</v>
      </c>
      <c r="B36" s="36" t="s">
        <v>174</v>
      </c>
      <c r="C36" s="59" t="s">
        <v>305</v>
      </c>
      <c r="D36" s="77" t="s">
        <v>306</v>
      </c>
      <c r="E36" s="3" t="s">
        <v>307</v>
      </c>
      <c r="F36" s="46" t="s">
        <v>216</v>
      </c>
      <c r="G36" s="79" t="s">
        <v>308</v>
      </c>
      <c r="H36" s="30"/>
      <c r="I36" s="30"/>
      <c r="J36" s="39">
        <f t="shared" si="0"/>
        <v>0</v>
      </c>
      <c r="K36" s="30"/>
      <c r="L36" s="32"/>
      <c r="M36" s="32"/>
      <c r="N36" s="3"/>
    </row>
    <row r="37" spans="1:14" ht="28.8" x14ac:dyDescent="0.3">
      <c r="A37" s="32">
        <v>32</v>
      </c>
      <c r="B37" s="36" t="s">
        <v>174</v>
      </c>
      <c r="C37" s="59" t="s">
        <v>309</v>
      </c>
      <c r="D37" s="78"/>
      <c r="E37" s="3" t="s">
        <v>310</v>
      </c>
      <c r="F37" s="46" t="s">
        <v>216</v>
      </c>
      <c r="G37" s="80"/>
      <c r="H37" s="30"/>
      <c r="I37" s="30"/>
      <c r="J37" s="39">
        <f t="shared" si="0"/>
        <v>0</v>
      </c>
      <c r="K37" s="30"/>
      <c r="L37" s="32"/>
      <c r="M37" s="32"/>
      <c r="N37" s="3"/>
    </row>
    <row r="38" spans="1:14" x14ac:dyDescent="0.3">
      <c r="A38" s="32">
        <v>33</v>
      </c>
      <c r="B38" s="36" t="s">
        <v>174</v>
      </c>
      <c r="C38" s="58" t="s">
        <v>311</v>
      </c>
      <c r="D38" s="46"/>
      <c r="E38" s="3" t="s">
        <v>312</v>
      </c>
      <c r="F38" s="46" t="s">
        <v>216</v>
      </c>
      <c r="G38" s="80" t="s">
        <v>227</v>
      </c>
      <c r="H38" s="30"/>
      <c r="I38" s="30"/>
      <c r="J38" s="39">
        <f t="shared" si="0"/>
        <v>0</v>
      </c>
      <c r="K38" s="30"/>
      <c r="L38" s="32"/>
      <c r="M38" s="32"/>
      <c r="N38" s="3"/>
    </row>
    <row r="39" spans="1:14" x14ac:dyDescent="0.3">
      <c r="A39" s="32">
        <v>34</v>
      </c>
      <c r="B39" s="36" t="s">
        <v>313</v>
      </c>
      <c r="C39" s="3" t="s">
        <v>314</v>
      </c>
      <c r="D39" s="3"/>
      <c r="E39" s="3" t="s">
        <v>315</v>
      </c>
      <c r="F39" s="46" t="s">
        <v>216</v>
      </c>
      <c r="G39" s="80"/>
      <c r="H39" s="30"/>
      <c r="I39" s="30"/>
      <c r="J39" s="39">
        <f t="shared" si="0"/>
        <v>0</v>
      </c>
      <c r="K39" s="30"/>
      <c r="L39" s="32"/>
      <c r="M39" s="32"/>
      <c r="N39" s="3"/>
    </row>
    <row r="40" spans="1:14" ht="29.1" customHeight="1" x14ac:dyDescent="0.3">
      <c r="A40" s="32">
        <v>35</v>
      </c>
      <c r="B40" s="36" t="s">
        <v>313</v>
      </c>
      <c r="C40" s="3" t="s">
        <v>316</v>
      </c>
      <c r="D40" s="3"/>
      <c r="E40" s="3" t="s">
        <v>317</v>
      </c>
      <c r="F40" s="46" t="s">
        <v>216</v>
      </c>
      <c r="G40" s="80"/>
      <c r="H40" s="30"/>
      <c r="I40" s="30"/>
      <c r="J40" s="39">
        <f t="shared" si="0"/>
        <v>0</v>
      </c>
      <c r="K40" s="30"/>
      <c r="L40" s="32"/>
      <c r="M40" s="32"/>
      <c r="N40" s="3"/>
    </row>
    <row r="41" spans="1:14" ht="61.5" customHeight="1" x14ac:dyDescent="0.3">
      <c r="A41" s="32">
        <v>36</v>
      </c>
      <c r="B41" s="36" t="s">
        <v>313</v>
      </c>
      <c r="C41" s="3" t="s">
        <v>318</v>
      </c>
      <c r="D41" s="3"/>
      <c r="E41" s="3" t="s">
        <v>319</v>
      </c>
      <c r="F41" s="46" t="s">
        <v>216</v>
      </c>
      <c r="G41" s="80"/>
      <c r="H41" s="30"/>
      <c r="I41" s="30"/>
      <c r="J41" s="39">
        <f t="shared" si="0"/>
        <v>0</v>
      </c>
      <c r="K41" s="30"/>
      <c r="L41" s="32"/>
      <c r="M41" s="32"/>
      <c r="N41" s="3"/>
    </row>
    <row r="42" spans="1:14" ht="29.1" customHeight="1" x14ac:dyDescent="0.3">
      <c r="A42" s="32">
        <v>37</v>
      </c>
      <c r="B42" s="37" t="str">
        <f>Dashboard!$A$15</f>
        <v>Day-of Event Execution</v>
      </c>
      <c r="C42" s="3" t="s">
        <v>320</v>
      </c>
      <c r="D42" s="3"/>
      <c r="E42" s="3" t="s">
        <v>321</v>
      </c>
      <c r="F42" s="46" t="s">
        <v>216</v>
      </c>
      <c r="G42" s="80"/>
      <c r="H42" s="30"/>
      <c r="I42" s="30"/>
      <c r="J42" s="39">
        <f t="shared" si="0"/>
        <v>0</v>
      </c>
      <c r="K42" s="30"/>
      <c r="L42" s="32"/>
      <c r="M42" s="32"/>
      <c r="N42" s="3"/>
    </row>
    <row r="43" spans="1:14" ht="29.1" customHeight="1" x14ac:dyDescent="0.3">
      <c r="A43" s="32"/>
      <c r="B43" s="37" t="str">
        <f>Dashboard!$A$15</f>
        <v>Day-of Event Execution</v>
      </c>
      <c r="C43" s="3" t="s">
        <v>322</v>
      </c>
      <c r="D43" s="3"/>
      <c r="E43" s="3"/>
      <c r="F43" s="46"/>
      <c r="G43" s="80"/>
      <c r="H43" s="30"/>
      <c r="I43" s="30"/>
      <c r="J43" s="39"/>
      <c r="K43" s="30"/>
      <c r="L43" s="32"/>
      <c r="M43" s="32"/>
      <c r="N43" s="3"/>
    </row>
    <row r="44" spans="1:14" x14ac:dyDescent="0.3">
      <c r="A44" s="32">
        <v>38</v>
      </c>
      <c r="B44" s="37" t="str">
        <f>Dashboard!$A$15</f>
        <v>Day-of Event Execution</v>
      </c>
      <c r="C44" s="3" t="s">
        <v>323</v>
      </c>
      <c r="D44" s="3"/>
      <c r="E44" s="3" t="s">
        <v>324</v>
      </c>
      <c r="F44" s="46" t="s">
        <v>216</v>
      </c>
      <c r="G44" s="80"/>
      <c r="H44" s="30"/>
      <c r="I44" s="30"/>
      <c r="J44" s="39">
        <f t="shared" si="0"/>
        <v>0</v>
      </c>
      <c r="K44" s="30"/>
      <c r="L44" s="32"/>
      <c r="M44" s="32"/>
      <c r="N44" s="3"/>
    </row>
    <row r="45" spans="1:14" x14ac:dyDescent="0.3">
      <c r="A45" s="32">
        <v>39</v>
      </c>
      <c r="B45" s="38" t="str">
        <f>Dashboard!$A$16</f>
        <v>Post-Event Follow-Up</v>
      </c>
      <c r="C45" s="3" t="s">
        <v>325</v>
      </c>
      <c r="D45" s="3"/>
      <c r="E45" s="3" t="s">
        <v>312</v>
      </c>
      <c r="F45" s="46" t="s">
        <v>216</v>
      </c>
      <c r="G45" s="80"/>
      <c r="H45" s="30"/>
      <c r="I45" s="30"/>
      <c r="J45" s="39">
        <f t="shared" si="0"/>
        <v>0</v>
      </c>
      <c r="K45" s="30"/>
      <c r="L45" s="32"/>
      <c r="M45" s="32"/>
      <c r="N45" s="3"/>
    </row>
    <row r="46" spans="1:14" ht="28.8" x14ac:dyDescent="0.3">
      <c r="A46" s="32">
        <v>40</v>
      </c>
      <c r="B46" s="38" t="str">
        <f>Dashboard!$A$16</f>
        <v>Post-Event Follow-Up</v>
      </c>
      <c r="C46" s="3" t="s">
        <v>326</v>
      </c>
      <c r="D46" s="3"/>
      <c r="E46" s="8" t="s">
        <v>327</v>
      </c>
      <c r="F46" s="46" t="s">
        <v>328</v>
      </c>
      <c r="G46" s="82"/>
      <c r="H46" s="30"/>
      <c r="I46" s="30"/>
      <c r="J46" s="39">
        <f t="shared" si="0"/>
        <v>0</v>
      </c>
      <c r="K46" s="30"/>
      <c r="L46" s="32"/>
      <c r="M46" s="32"/>
      <c r="N46" s="3"/>
    </row>
    <row r="47" spans="1:14" ht="29.1" customHeight="1" x14ac:dyDescent="0.3">
      <c r="A47" s="32">
        <v>41</v>
      </c>
      <c r="B47" s="38" t="str">
        <f>Dashboard!$A$16</f>
        <v>Post-Event Follow-Up</v>
      </c>
      <c r="C47" s="3" t="s">
        <v>329</v>
      </c>
      <c r="D47" s="3"/>
      <c r="E47" s="3" t="s">
        <v>209</v>
      </c>
      <c r="F47" s="46" t="s">
        <v>216</v>
      </c>
      <c r="G47" s="79" t="s">
        <v>330</v>
      </c>
      <c r="H47" s="30"/>
      <c r="I47" s="30"/>
      <c r="J47" s="39">
        <f>_xlfn.DAYS(I47,H47)</f>
        <v>0</v>
      </c>
      <c r="K47" s="30"/>
      <c r="L47" s="32"/>
      <c r="M47" s="32"/>
      <c r="N47" s="3"/>
    </row>
    <row r="48" spans="1:14" x14ac:dyDescent="0.3">
      <c r="A48" s="32">
        <v>42</v>
      </c>
      <c r="B48" s="38" t="str">
        <f>Dashboard!$A$16</f>
        <v>Post-Event Follow-Up</v>
      </c>
      <c r="C48" s="3" t="s">
        <v>210</v>
      </c>
      <c r="D48" s="3"/>
      <c r="E48" s="3" t="s">
        <v>211</v>
      </c>
      <c r="F48" s="46" t="s">
        <v>216</v>
      </c>
      <c r="G48" s="82"/>
      <c r="H48" s="30"/>
      <c r="I48" s="30"/>
      <c r="J48" s="39">
        <f t="shared" si="0"/>
        <v>0</v>
      </c>
      <c r="K48" s="30"/>
      <c r="L48" s="32"/>
      <c r="M48" s="32"/>
      <c r="N48" s="3"/>
    </row>
  </sheetData>
  <mergeCells count="15">
    <mergeCell ref="G38:G46"/>
    <mergeCell ref="G47:G48"/>
    <mergeCell ref="G19:G20"/>
    <mergeCell ref="G21:G26"/>
    <mergeCell ref="G28:G29"/>
    <mergeCell ref="G30:G33"/>
    <mergeCell ref="G34:G35"/>
    <mergeCell ref="D36:D37"/>
    <mergeCell ref="G36:G37"/>
    <mergeCell ref="A1:E1"/>
    <mergeCell ref="G4:G5"/>
    <mergeCell ref="G6:G9"/>
    <mergeCell ref="G11:G12"/>
    <mergeCell ref="G13:G14"/>
    <mergeCell ref="G15:G16"/>
  </mergeCells>
  <conditionalFormatting sqref="M4:M58">
    <cfRule type="containsText" dxfId="7" priority="1" operator="containsText" text="In Progress">
      <formula>NOT(ISERROR(SEARCH("In Progress",M4)))</formula>
    </cfRule>
    <cfRule type="containsText" dxfId="6" priority="2" operator="containsText" text="Complete">
      <formula>NOT(ISERROR(SEARCH("Complete",M4)))</formula>
    </cfRule>
  </conditionalFormatting>
  <dataValidations count="1">
    <dataValidation type="list" allowBlank="1" showInputMessage="1" showErrorMessage="1" sqref="M4:M48" xr:uid="{889A8605-73AF-4F67-BB9E-A479EA4EF1F2}">
      <formula1>"Complete, In progress, --"</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8DF5D61-F319-4155-BB3F-27CA086F0CF3}">
          <x14:formula1>
            <xm:f>Dashboard!$A$20:$A$30</xm:f>
          </x14:formula1>
          <xm:sqref>L4:L48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22579-B6DD-4227-B19C-BD3F78C705C0}">
  <dimension ref="A1:E10"/>
  <sheetViews>
    <sheetView workbookViewId="0">
      <selection activeCell="C6" sqref="C6"/>
    </sheetView>
  </sheetViews>
  <sheetFormatPr defaultRowHeight="14.4" x14ac:dyDescent="0.3"/>
  <cols>
    <col min="1" max="1" width="39.88671875" customWidth="1"/>
    <col min="2" max="2" width="13.33203125" customWidth="1"/>
    <col min="3" max="3" width="35.44140625" customWidth="1"/>
  </cols>
  <sheetData>
    <row r="1" spans="1:5" x14ac:dyDescent="0.3">
      <c r="A1" s="15" t="s">
        <v>331</v>
      </c>
      <c r="B1" s="15" t="s">
        <v>332</v>
      </c>
      <c r="C1" s="22" t="s">
        <v>333</v>
      </c>
      <c r="E1" t="s">
        <v>334</v>
      </c>
    </row>
    <row r="2" spans="1:5" x14ac:dyDescent="0.3">
      <c r="A2" t="s">
        <v>335</v>
      </c>
      <c r="B2" s="2"/>
      <c r="C2" s="48"/>
    </row>
    <row r="3" spans="1:5" x14ac:dyDescent="0.3">
      <c r="A3" t="s">
        <v>336</v>
      </c>
      <c r="B3" s="2"/>
    </row>
    <row r="4" spans="1:5" x14ac:dyDescent="0.3">
      <c r="A4" t="s">
        <v>337</v>
      </c>
      <c r="B4" s="2"/>
    </row>
    <row r="5" spans="1:5" x14ac:dyDescent="0.3">
      <c r="A5" t="s">
        <v>338</v>
      </c>
      <c r="B5" s="2">
        <v>1</v>
      </c>
    </row>
    <row r="6" spans="1:5" x14ac:dyDescent="0.3">
      <c r="A6" t="s">
        <v>339</v>
      </c>
      <c r="B6" s="2">
        <v>2</v>
      </c>
      <c r="C6" t="s">
        <v>340</v>
      </c>
    </row>
    <row r="7" spans="1:5" x14ac:dyDescent="0.3">
      <c r="A7" t="s">
        <v>341</v>
      </c>
      <c r="B7" s="2">
        <v>1</v>
      </c>
      <c r="C7" t="s">
        <v>342</v>
      </c>
    </row>
    <row r="8" spans="1:5" x14ac:dyDescent="0.3">
      <c r="A8" t="s">
        <v>343</v>
      </c>
      <c r="B8" s="2"/>
    </row>
    <row r="9" spans="1:5" x14ac:dyDescent="0.3">
      <c r="A9" t="s">
        <v>344</v>
      </c>
      <c r="B9" s="2"/>
    </row>
    <row r="10" spans="1:5" x14ac:dyDescent="0.3">
      <c r="A10" t="s">
        <v>345</v>
      </c>
      <c r="B10" s="2"/>
      <c r="C10" t="s">
        <v>346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zoomScale="85" zoomScaleNormal="100" workbookViewId="0">
      <selection activeCell="B3" sqref="A1:M46"/>
    </sheetView>
  </sheetViews>
  <sheetFormatPr defaultRowHeight="14.4" x14ac:dyDescent="0.3"/>
  <cols>
    <col min="1" max="1" width="6.33203125" customWidth="1"/>
    <col min="2" max="2" width="26" style="2" customWidth="1"/>
    <col min="3" max="3" width="42" style="1" customWidth="1"/>
    <col min="4" max="4" width="65" style="1" customWidth="1"/>
    <col min="5" max="5" width="31.88671875" style="1" customWidth="1"/>
    <col min="6" max="6" width="24" style="43" customWidth="1"/>
    <col min="7" max="8" width="16" style="40" customWidth="1"/>
    <col min="9" max="9" width="16" style="41" customWidth="1"/>
    <col min="10" max="10" width="16" customWidth="1"/>
    <col min="11" max="11" width="18" customWidth="1"/>
    <col min="12" max="12" width="23.44140625" customWidth="1"/>
    <col min="13" max="13" width="26" customWidth="1"/>
  </cols>
  <sheetData>
    <row r="1" spans="1:13" x14ac:dyDescent="0.3">
      <c r="A1" s="81" t="s">
        <v>51</v>
      </c>
      <c r="B1" s="81"/>
      <c r="C1" s="81"/>
      <c r="D1" s="81"/>
      <c r="E1" s="16"/>
      <c r="F1" s="16"/>
      <c r="G1" s="16"/>
      <c r="H1" s="16"/>
      <c r="I1" s="16"/>
      <c r="J1" s="16"/>
      <c r="K1" s="4"/>
      <c r="L1" s="4"/>
      <c r="M1" s="4"/>
    </row>
    <row r="2" spans="1:13" ht="32.1" customHeight="1" x14ac:dyDescent="0.3">
      <c r="A2" s="31" t="s">
        <v>52</v>
      </c>
      <c r="B2" s="31" t="s">
        <v>8</v>
      </c>
      <c r="C2" s="31" t="s">
        <v>10</v>
      </c>
      <c r="D2" s="31" t="s">
        <v>54</v>
      </c>
      <c r="E2" s="31" t="s">
        <v>55</v>
      </c>
      <c r="F2" s="31" t="s">
        <v>56</v>
      </c>
      <c r="G2" s="31" t="s">
        <v>57</v>
      </c>
      <c r="H2" s="31" t="s">
        <v>58</v>
      </c>
      <c r="I2" s="31" t="s">
        <v>59</v>
      </c>
      <c r="J2" s="31" t="s">
        <v>60</v>
      </c>
      <c r="K2" s="31" t="s">
        <v>16</v>
      </c>
      <c r="L2" s="31" t="s">
        <v>61</v>
      </c>
      <c r="M2" s="31" t="s">
        <v>62</v>
      </c>
    </row>
    <row r="3" spans="1:13" ht="32.1" customHeight="1" x14ac:dyDescent="0.3">
      <c r="A3" s="52"/>
      <c r="B3" s="53"/>
      <c r="C3" s="52" t="s">
        <v>212</v>
      </c>
      <c r="D3" s="52"/>
      <c r="E3" s="52"/>
      <c r="F3" s="53"/>
      <c r="G3" s="52"/>
      <c r="H3" s="52"/>
      <c r="I3" s="52"/>
      <c r="J3" s="52"/>
      <c r="K3" s="52"/>
      <c r="L3" s="52"/>
      <c r="M3" s="52"/>
    </row>
    <row r="4" spans="1:13" ht="29.1" customHeight="1" x14ac:dyDescent="0.3">
      <c r="A4" s="32">
        <v>1</v>
      </c>
      <c r="B4" s="33" t="str">
        <f>Dashboard!$A$11</f>
        <v>Pre-Event Planning</v>
      </c>
      <c r="C4" s="3" t="s">
        <v>213</v>
      </c>
      <c r="D4" s="3" t="s">
        <v>215</v>
      </c>
      <c r="E4" s="46" t="s">
        <v>216</v>
      </c>
      <c r="F4" s="79" t="s">
        <v>217</v>
      </c>
      <c r="G4" s="30">
        <v>46223</v>
      </c>
      <c r="H4" s="30">
        <v>46225</v>
      </c>
      <c r="I4" s="39">
        <f t="shared" ref="I4:I46" si="0">_xlfn.DAYS(H4,G4)</f>
        <v>2</v>
      </c>
      <c r="J4" s="30"/>
      <c r="K4" s="32" t="s">
        <v>38</v>
      </c>
      <c r="L4" s="32" t="s">
        <v>218</v>
      </c>
      <c r="M4" s="3"/>
    </row>
    <row r="5" spans="1:13" ht="69" customHeight="1" x14ac:dyDescent="0.3">
      <c r="A5" s="32">
        <v>2</v>
      </c>
      <c r="B5" s="33" t="str">
        <f>Dashboard!$A$11</f>
        <v>Pre-Event Planning</v>
      </c>
      <c r="C5" s="3" t="s">
        <v>219</v>
      </c>
      <c r="D5" s="3" t="s">
        <v>221</v>
      </c>
      <c r="E5" s="46" t="s">
        <v>222</v>
      </c>
      <c r="F5" s="82"/>
      <c r="G5" s="30">
        <v>46225</v>
      </c>
      <c r="H5" s="30">
        <v>46228</v>
      </c>
      <c r="I5" s="39">
        <f t="shared" si="0"/>
        <v>3</v>
      </c>
      <c r="J5" s="30"/>
      <c r="K5" s="32" t="s">
        <v>40</v>
      </c>
      <c r="L5" s="32" t="s">
        <v>223</v>
      </c>
      <c r="M5" s="3"/>
    </row>
    <row r="6" spans="1:13" ht="29.1" customHeight="1" x14ac:dyDescent="0.3">
      <c r="A6" s="32">
        <v>3</v>
      </c>
      <c r="B6" s="33" t="str">
        <f>Dashboard!$A$11</f>
        <v>Pre-Event Planning</v>
      </c>
      <c r="C6" s="3" t="s">
        <v>224</v>
      </c>
      <c r="D6" s="3" t="s">
        <v>226</v>
      </c>
      <c r="E6" s="46" t="s">
        <v>216</v>
      </c>
      <c r="F6" s="79" t="s">
        <v>227</v>
      </c>
      <c r="G6" s="30"/>
      <c r="H6" s="30"/>
      <c r="I6" s="39">
        <f>_xlfn.DAYS(H6,G6)</f>
        <v>0</v>
      </c>
      <c r="J6" s="30"/>
      <c r="K6" s="32" t="s">
        <v>39</v>
      </c>
      <c r="L6" s="32" t="s">
        <v>218</v>
      </c>
      <c r="M6" s="3"/>
    </row>
    <row r="7" spans="1:13" ht="30.9" customHeight="1" x14ac:dyDescent="0.3">
      <c r="A7" s="32">
        <v>4</v>
      </c>
      <c r="B7" s="33" t="str">
        <f>Dashboard!$A$11</f>
        <v>Pre-Event Planning</v>
      </c>
      <c r="C7" s="3" t="s">
        <v>228</v>
      </c>
      <c r="D7" s="3" t="s">
        <v>229</v>
      </c>
      <c r="E7" s="46" t="s">
        <v>216</v>
      </c>
      <c r="F7" s="80"/>
      <c r="G7" s="30"/>
      <c r="H7" s="30"/>
      <c r="I7" s="39">
        <f t="shared" si="0"/>
        <v>0</v>
      </c>
      <c r="J7" s="30"/>
      <c r="K7" s="32" t="s">
        <v>38</v>
      </c>
      <c r="L7" s="32"/>
      <c r="M7" s="3"/>
    </row>
    <row r="8" spans="1:13" x14ac:dyDescent="0.3">
      <c r="A8" s="32">
        <v>5</v>
      </c>
      <c r="B8" s="33" t="str">
        <f>Dashboard!$A$11</f>
        <v>Pre-Event Planning</v>
      </c>
      <c r="C8" s="3" t="s">
        <v>347</v>
      </c>
      <c r="D8" s="3" t="s">
        <v>231</v>
      </c>
      <c r="E8" s="46" t="s">
        <v>216</v>
      </c>
      <c r="F8" s="80"/>
      <c r="G8" s="30"/>
      <c r="H8" s="30"/>
      <c r="I8" s="39">
        <f t="shared" si="0"/>
        <v>0</v>
      </c>
      <c r="J8" s="30"/>
      <c r="K8" s="32" t="s">
        <v>38</v>
      </c>
      <c r="L8" s="32"/>
      <c r="M8" s="3"/>
    </row>
    <row r="9" spans="1:13" ht="28.8" x14ac:dyDescent="0.3">
      <c r="A9" s="32">
        <v>6</v>
      </c>
      <c r="B9" s="33" t="str">
        <f>Dashboard!$A$11</f>
        <v>Pre-Event Planning</v>
      </c>
      <c r="C9" s="3" t="s">
        <v>232</v>
      </c>
      <c r="D9" s="3" t="s">
        <v>233</v>
      </c>
      <c r="E9" s="46" t="s">
        <v>216</v>
      </c>
      <c r="F9" s="82"/>
      <c r="G9" s="30"/>
      <c r="H9" s="30"/>
      <c r="I9" s="39">
        <f t="shared" si="0"/>
        <v>0</v>
      </c>
      <c r="J9" s="30"/>
      <c r="K9" s="32"/>
      <c r="L9" s="32"/>
      <c r="M9" s="3"/>
    </row>
    <row r="10" spans="1:13" ht="43.2" x14ac:dyDescent="0.3">
      <c r="A10" s="32">
        <v>7</v>
      </c>
      <c r="B10" s="33" t="str">
        <f>Dashboard!$A$11</f>
        <v>Pre-Event Planning</v>
      </c>
      <c r="C10" s="3" t="s">
        <v>234</v>
      </c>
      <c r="D10" s="5" t="s">
        <v>236</v>
      </c>
      <c r="E10" s="46" t="s">
        <v>237</v>
      </c>
      <c r="F10" s="28" t="s">
        <v>217</v>
      </c>
      <c r="G10" s="30"/>
      <c r="H10" s="30"/>
      <c r="I10" s="39">
        <f t="shared" si="0"/>
        <v>0</v>
      </c>
      <c r="J10" s="30"/>
      <c r="K10" s="32"/>
      <c r="L10" s="32"/>
      <c r="M10" s="3"/>
    </row>
    <row r="11" spans="1:13" ht="28.8" x14ac:dyDescent="0.3">
      <c r="A11" s="32">
        <v>8</v>
      </c>
      <c r="B11" s="34" t="str">
        <f>Dashboard!$A$12</f>
        <v>Outreach &amp; Registration</v>
      </c>
      <c r="C11" s="3" t="s">
        <v>238</v>
      </c>
      <c r="D11" s="5" t="s">
        <v>239</v>
      </c>
      <c r="E11" s="46" t="s">
        <v>216</v>
      </c>
      <c r="F11" s="79" t="s">
        <v>240</v>
      </c>
      <c r="G11" s="30"/>
      <c r="H11" s="30"/>
      <c r="I11" s="39">
        <f t="shared" si="0"/>
        <v>0</v>
      </c>
      <c r="J11" s="30"/>
      <c r="K11" s="32"/>
      <c r="L11" s="32"/>
      <c r="M11" s="3"/>
    </row>
    <row r="12" spans="1:13" ht="43.2" x14ac:dyDescent="0.3">
      <c r="A12" s="32">
        <v>9</v>
      </c>
      <c r="B12" s="34" t="str">
        <f>Dashboard!$A$12</f>
        <v>Outreach &amp; Registration</v>
      </c>
      <c r="C12" s="3" t="s">
        <v>241</v>
      </c>
      <c r="D12" s="5" t="s">
        <v>242</v>
      </c>
      <c r="E12" s="47" t="s">
        <v>243</v>
      </c>
      <c r="F12" s="80"/>
      <c r="G12" s="30"/>
      <c r="H12" s="30"/>
      <c r="I12" s="39">
        <f t="shared" si="0"/>
        <v>0</v>
      </c>
      <c r="J12" s="30"/>
      <c r="K12" s="32"/>
      <c r="L12" s="32"/>
      <c r="M12" s="3"/>
    </row>
    <row r="13" spans="1:13" x14ac:dyDescent="0.3">
      <c r="A13" s="32">
        <v>10</v>
      </c>
      <c r="B13" s="34" t="str">
        <f>Dashboard!$A$12</f>
        <v>Outreach &amp; Registration</v>
      </c>
      <c r="C13" s="3" t="s">
        <v>245</v>
      </c>
      <c r="D13" s="3" t="s">
        <v>246</v>
      </c>
      <c r="E13" s="46" t="s">
        <v>216</v>
      </c>
      <c r="F13" s="80" t="s">
        <v>247</v>
      </c>
      <c r="G13" s="30"/>
      <c r="H13" s="30"/>
      <c r="I13" s="39">
        <f t="shared" si="0"/>
        <v>0</v>
      </c>
      <c r="J13" s="30"/>
      <c r="K13" s="32"/>
      <c r="L13" s="32"/>
      <c r="M13" s="3"/>
    </row>
    <row r="14" spans="1:13" x14ac:dyDescent="0.3">
      <c r="A14" s="32">
        <v>11</v>
      </c>
      <c r="B14" s="34" t="str">
        <f>Dashboard!$A$12</f>
        <v>Outreach &amp; Registration</v>
      </c>
      <c r="C14" s="3" t="s">
        <v>248</v>
      </c>
      <c r="D14" s="3" t="s">
        <v>249</v>
      </c>
      <c r="E14" s="46" t="s">
        <v>216</v>
      </c>
      <c r="F14" s="82"/>
      <c r="G14" s="30"/>
      <c r="H14" s="30"/>
      <c r="I14" s="39">
        <f t="shared" si="0"/>
        <v>0</v>
      </c>
      <c r="J14" s="30"/>
      <c r="K14" s="32"/>
      <c r="L14" s="32"/>
      <c r="M14" s="3"/>
    </row>
    <row r="15" spans="1:13" ht="28.8" x14ac:dyDescent="0.3">
      <c r="A15" s="32">
        <v>12</v>
      </c>
      <c r="B15" s="34" t="str">
        <f>Dashboard!$A$12</f>
        <v>Outreach &amp; Registration</v>
      </c>
      <c r="C15" s="3" t="s">
        <v>250</v>
      </c>
      <c r="D15" s="3" t="s">
        <v>251</v>
      </c>
      <c r="E15" s="46" t="s">
        <v>216</v>
      </c>
      <c r="F15" s="79" t="s">
        <v>217</v>
      </c>
      <c r="G15" s="30"/>
      <c r="H15" s="30"/>
      <c r="I15" s="39">
        <f t="shared" si="0"/>
        <v>0</v>
      </c>
      <c r="J15" s="30"/>
      <c r="K15" s="32"/>
      <c r="L15" s="32"/>
      <c r="M15" s="3"/>
    </row>
    <row r="16" spans="1:13" ht="28.8" x14ac:dyDescent="0.3">
      <c r="A16" s="32">
        <v>13</v>
      </c>
      <c r="B16" s="34" t="str">
        <f>Dashboard!$A$12</f>
        <v>Outreach &amp; Registration</v>
      </c>
      <c r="C16" s="3" t="s">
        <v>252</v>
      </c>
      <c r="D16" s="3" t="s">
        <v>253</v>
      </c>
      <c r="E16" s="46" t="s">
        <v>254</v>
      </c>
      <c r="F16" s="82"/>
      <c r="G16" s="30"/>
      <c r="H16" s="30"/>
      <c r="I16" s="39">
        <f t="shared" si="0"/>
        <v>0</v>
      </c>
      <c r="J16" s="30"/>
      <c r="K16" s="32"/>
      <c r="L16" s="32"/>
      <c r="M16" s="3"/>
    </row>
    <row r="17" spans="1:13" ht="33" customHeight="1" x14ac:dyDescent="0.3">
      <c r="A17" s="32">
        <v>14</v>
      </c>
      <c r="B17" s="34" t="str">
        <f>Dashboard!$A$12</f>
        <v>Outreach &amp; Registration</v>
      </c>
      <c r="C17" s="3" t="s">
        <v>255</v>
      </c>
      <c r="D17" s="3" t="s">
        <v>257</v>
      </c>
      <c r="E17" s="46" t="s">
        <v>258</v>
      </c>
      <c r="F17" s="28" t="s">
        <v>240</v>
      </c>
      <c r="G17" s="30"/>
      <c r="H17" s="30"/>
      <c r="I17" s="39">
        <f t="shared" si="0"/>
        <v>0</v>
      </c>
      <c r="J17" s="30"/>
      <c r="K17" s="32"/>
      <c r="L17" s="32"/>
      <c r="M17" s="3"/>
    </row>
    <row r="18" spans="1:13" ht="30.6" customHeight="1" x14ac:dyDescent="0.3">
      <c r="A18" s="32">
        <v>15</v>
      </c>
      <c r="B18" s="34" t="str">
        <f>Dashboard!$A$12</f>
        <v>Outreach &amp; Registration</v>
      </c>
      <c r="C18" s="3" t="s">
        <v>259</v>
      </c>
      <c r="D18" s="3" t="s">
        <v>260</v>
      </c>
      <c r="E18" s="46" t="s">
        <v>261</v>
      </c>
      <c r="F18" s="28" t="s">
        <v>240</v>
      </c>
      <c r="G18" s="30"/>
      <c r="H18" s="30"/>
      <c r="I18" s="39">
        <f t="shared" si="0"/>
        <v>0</v>
      </c>
      <c r="J18" s="30"/>
      <c r="K18" s="32"/>
      <c r="L18" s="32"/>
      <c r="M18" s="3"/>
    </row>
    <row r="19" spans="1:13" ht="29.1" customHeight="1" x14ac:dyDescent="0.3">
      <c r="A19" s="32">
        <v>16</v>
      </c>
      <c r="B19" s="35" t="str">
        <f>Dashboard!$A$13</f>
        <v>Pre-Event Logistics</v>
      </c>
      <c r="C19" s="3" t="s">
        <v>348</v>
      </c>
      <c r="D19" s="3" t="s">
        <v>263</v>
      </c>
      <c r="E19" s="46" t="s">
        <v>264</v>
      </c>
      <c r="F19" s="79" t="s">
        <v>265</v>
      </c>
      <c r="G19" s="30"/>
      <c r="H19" s="30"/>
      <c r="I19" s="39">
        <f t="shared" si="0"/>
        <v>0</v>
      </c>
      <c r="J19" s="30"/>
      <c r="K19" s="32"/>
      <c r="L19" s="32"/>
      <c r="M19" s="3"/>
    </row>
    <row r="20" spans="1:13" ht="28.8" x14ac:dyDescent="0.3">
      <c r="A20" s="32">
        <v>17</v>
      </c>
      <c r="B20" s="35" t="str">
        <f>Dashboard!$A$13</f>
        <v>Pre-Event Logistics</v>
      </c>
      <c r="C20" s="3" t="s">
        <v>349</v>
      </c>
      <c r="D20" s="3" t="s">
        <v>266</v>
      </c>
      <c r="E20" s="46" t="s">
        <v>267</v>
      </c>
      <c r="F20" s="82"/>
      <c r="G20" s="30"/>
      <c r="H20" s="30"/>
      <c r="I20" s="39">
        <f t="shared" si="0"/>
        <v>0</v>
      </c>
      <c r="J20" s="30"/>
      <c r="K20" s="32"/>
      <c r="L20" s="32"/>
      <c r="M20" s="3"/>
    </row>
    <row r="21" spans="1:13" x14ac:dyDescent="0.3">
      <c r="A21" s="32">
        <v>18</v>
      </c>
      <c r="B21" s="35" t="str">
        <f>Dashboard!$A$13</f>
        <v>Pre-Event Logistics</v>
      </c>
      <c r="C21" s="3" t="s">
        <v>268</v>
      </c>
      <c r="D21" s="3" t="s">
        <v>269</v>
      </c>
      <c r="E21" s="46" t="s">
        <v>216</v>
      </c>
      <c r="F21" s="79" t="s">
        <v>270</v>
      </c>
      <c r="G21" s="30"/>
      <c r="H21" s="30"/>
      <c r="I21" s="39">
        <f t="shared" si="0"/>
        <v>0</v>
      </c>
      <c r="J21" s="30"/>
      <c r="K21" s="32"/>
      <c r="L21" s="32"/>
      <c r="M21" s="3"/>
    </row>
    <row r="22" spans="1:13" x14ac:dyDescent="0.3">
      <c r="A22" s="32"/>
      <c r="B22" s="35" t="str">
        <f>Dashboard!$A$13</f>
        <v>Pre-Event Logistics</v>
      </c>
      <c r="C22" s="3" t="s">
        <v>271</v>
      </c>
      <c r="D22" s="3" t="s">
        <v>272</v>
      </c>
      <c r="E22" s="46" t="s">
        <v>216</v>
      </c>
      <c r="F22" s="80"/>
      <c r="G22" s="30"/>
      <c r="H22" s="30"/>
      <c r="I22" s="39"/>
      <c r="J22" s="30"/>
      <c r="K22" s="32"/>
      <c r="L22" s="32"/>
      <c r="M22" s="3"/>
    </row>
    <row r="23" spans="1:13" ht="28.8" x14ac:dyDescent="0.3">
      <c r="A23" s="32">
        <v>19</v>
      </c>
      <c r="B23" s="35" t="str">
        <f>Dashboard!$A$13</f>
        <v>Pre-Event Logistics</v>
      </c>
      <c r="C23" s="3" t="s">
        <v>273</v>
      </c>
      <c r="D23" s="3" t="s">
        <v>274</v>
      </c>
      <c r="E23" s="46" t="s">
        <v>275</v>
      </c>
      <c r="F23" s="80"/>
      <c r="G23" s="30"/>
      <c r="H23" s="30"/>
      <c r="I23" s="39">
        <f t="shared" si="0"/>
        <v>0</v>
      </c>
      <c r="J23" s="30"/>
      <c r="K23" s="32"/>
      <c r="L23" s="32"/>
      <c r="M23" s="3"/>
    </row>
    <row r="24" spans="1:13" ht="28.8" x14ac:dyDescent="0.3">
      <c r="A24" s="32">
        <v>20</v>
      </c>
      <c r="B24" s="35" t="str">
        <f>Dashboard!$A$13</f>
        <v>Pre-Event Logistics</v>
      </c>
      <c r="C24" s="3" t="s">
        <v>276</v>
      </c>
      <c r="D24" s="3" t="s">
        <v>277</v>
      </c>
      <c r="E24" s="46" t="s">
        <v>216</v>
      </c>
      <c r="F24" s="80"/>
      <c r="G24" s="30"/>
      <c r="H24" s="30"/>
      <c r="I24" s="39">
        <f t="shared" si="0"/>
        <v>0</v>
      </c>
      <c r="J24" s="30"/>
      <c r="K24" s="32"/>
      <c r="L24" s="32"/>
      <c r="M24" s="3"/>
    </row>
    <row r="25" spans="1:13" x14ac:dyDescent="0.3">
      <c r="A25" s="32">
        <v>21</v>
      </c>
      <c r="B25" s="35" t="str">
        <f>Dashboard!$A$13</f>
        <v>Pre-Event Logistics</v>
      </c>
      <c r="C25" s="3" t="s">
        <v>278</v>
      </c>
      <c r="D25" s="3" t="s">
        <v>280</v>
      </c>
      <c r="E25" s="46" t="s">
        <v>216</v>
      </c>
      <c r="F25" s="80"/>
      <c r="G25" s="30"/>
      <c r="H25" s="30"/>
      <c r="I25" s="39">
        <f t="shared" si="0"/>
        <v>0</v>
      </c>
      <c r="J25" s="30"/>
      <c r="K25" s="32"/>
      <c r="L25" s="32"/>
      <c r="M25" s="3"/>
    </row>
    <row r="26" spans="1:13" ht="28.8" x14ac:dyDescent="0.3">
      <c r="A26" s="32">
        <v>22</v>
      </c>
      <c r="B26" s="35" t="str">
        <f>Dashboard!$A$13</f>
        <v>Pre-Event Logistics</v>
      </c>
      <c r="C26" s="3" t="s">
        <v>281</v>
      </c>
      <c r="D26" s="3" t="s">
        <v>282</v>
      </c>
      <c r="E26" s="46" t="s">
        <v>216</v>
      </c>
      <c r="F26" s="82"/>
      <c r="G26" s="30"/>
      <c r="H26" s="30"/>
      <c r="I26" s="39">
        <f t="shared" si="0"/>
        <v>0</v>
      </c>
      <c r="J26" s="30"/>
      <c r="K26" s="32"/>
      <c r="L26" s="32"/>
      <c r="M26" s="3"/>
    </row>
    <row r="27" spans="1:13" ht="28.8" x14ac:dyDescent="0.3">
      <c r="A27" s="32">
        <v>23</v>
      </c>
      <c r="B27" s="36" t="str">
        <f>Dashboard!$A$14</f>
        <v>1 Week Prior Event Planning</v>
      </c>
      <c r="C27" s="3" t="s">
        <v>350</v>
      </c>
      <c r="D27" s="3" t="s">
        <v>285</v>
      </c>
      <c r="E27" s="46" t="s">
        <v>286</v>
      </c>
      <c r="F27" s="79" t="s">
        <v>247</v>
      </c>
      <c r="G27" s="30"/>
      <c r="H27" s="30"/>
      <c r="I27" s="39">
        <f t="shared" si="0"/>
        <v>0</v>
      </c>
      <c r="J27" s="30"/>
      <c r="K27" s="32"/>
      <c r="L27" s="32"/>
      <c r="M27" s="3"/>
    </row>
    <row r="28" spans="1:13" ht="28.8" x14ac:dyDescent="0.3">
      <c r="A28" s="32">
        <v>24</v>
      </c>
      <c r="B28" s="36" t="str">
        <f>Dashboard!$A$14</f>
        <v>1 Week Prior Event Planning</v>
      </c>
      <c r="C28" s="3" t="s">
        <v>287</v>
      </c>
      <c r="D28" s="3" t="s">
        <v>288</v>
      </c>
      <c r="E28" s="46" t="s">
        <v>286</v>
      </c>
      <c r="F28" s="82"/>
      <c r="G28" s="30"/>
      <c r="H28" s="30"/>
      <c r="I28" s="39">
        <f t="shared" si="0"/>
        <v>0</v>
      </c>
      <c r="J28" s="30"/>
      <c r="K28" s="32"/>
      <c r="L28" s="32"/>
      <c r="M28" s="3"/>
    </row>
    <row r="29" spans="1:13" x14ac:dyDescent="0.3">
      <c r="A29" s="32">
        <v>25</v>
      </c>
      <c r="B29" s="36" t="str">
        <f>Dashboard!$A$14</f>
        <v>1 Week Prior Event Planning</v>
      </c>
      <c r="C29" s="3" t="s">
        <v>289</v>
      </c>
      <c r="D29" s="3" t="s">
        <v>291</v>
      </c>
      <c r="E29" s="46" t="s">
        <v>216</v>
      </c>
      <c r="F29" s="79" t="s">
        <v>217</v>
      </c>
      <c r="G29" s="30"/>
      <c r="H29" s="30"/>
      <c r="I29" s="39">
        <f t="shared" si="0"/>
        <v>0</v>
      </c>
      <c r="J29" s="30"/>
      <c r="K29" s="32"/>
      <c r="L29" s="32"/>
      <c r="M29" s="3"/>
    </row>
    <row r="30" spans="1:13" x14ac:dyDescent="0.3">
      <c r="A30" s="32">
        <v>26</v>
      </c>
      <c r="B30" s="36" t="str">
        <f>Dashboard!$A$14</f>
        <v>1 Week Prior Event Planning</v>
      </c>
      <c r="C30" s="3" t="s">
        <v>292</v>
      </c>
      <c r="D30" s="3" t="s">
        <v>293</v>
      </c>
      <c r="E30" s="46" t="s">
        <v>216</v>
      </c>
      <c r="F30" s="80"/>
      <c r="G30" s="30"/>
      <c r="H30" s="30"/>
      <c r="I30" s="39">
        <f t="shared" si="0"/>
        <v>0</v>
      </c>
      <c r="J30" s="30"/>
      <c r="K30" s="32"/>
      <c r="L30" s="32"/>
      <c r="M30" s="3"/>
    </row>
    <row r="31" spans="1:13" x14ac:dyDescent="0.3">
      <c r="A31" s="32">
        <v>27</v>
      </c>
      <c r="B31" s="36" t="str">
        <f>Dashboard!$A$14</f>
        <v>1 Week Prior Event Planning</v>
      </c>
      <c r="C31" s="3" t="s">
        <v>294</v>
      </c>
      <c r="D31" s="3" t="s">
        <v>295</v>
      </c>
      <c r="E31" s="46" t="s">
        <v>216</v>
      </c>
      <c r="F31" s="80"/>
      <c r="G31" s="30"/>
      <c r="H31" s="30"/>
      <c r="I31" s="39">
        <f t="shared" si="0"/>
        <v>0</v>
      </c>
      <c r="J31" s="30"/>
      <c r="K31" s="32"/>
      <c r="L31" s="32"/>
      <c r="M31" s="3"/>
    </row>
    <row r="32" spans="1:13" ht="48" customHeight="1" x14ac:dyDescent="0.3">
      <c r="A32" s="32">
        <v>28</v>
      </c>
      <c r="B32" s="36" t="str">
        <f>Dashboard!$A$14</f>
        <v>1 Week Prior Event Planning</v>
      </c>
      <c r="C32" s="3" t="s">
        <v>296</v>
      </c>
      <c r="D32" s="3" t="s">
        <v>298</v>
      </c>
      <c r="E32" s="46" t="s">
        <v>299</v>
      </c>
      <c r="F32" s="82"/>
      <c r="G32" s="30"/>
      <c r="H32" s="30"/>
      <c r="I32" s="39">
        <f t="shared" si="0"/>
        <v>0</v>
      </c>
      <c r="J32" s="30"/>
      <c r="K32" s="32"/>
      <c r="L32" s="32"/>
      <c r="M32" s="3"/>
    </row>
    <row r="33" spans="1:13" ht="28.8" x14ac:dyDescent="0.3">
      <c r="A33" s="32">
        <v>29</v>
      </c>
      <c r="B33" s="36" t="str">
        <f>Dashboard!$A$14</f>
        <v>1 Week Prior Event Planning</v>
      </c>
      <c r="C33" s="3" t="s">
        <v>300</v>
      </c>
      <c r="D33" s="3" t="s">
        <v>301</v>
      </c>
      <c r="E33" s="46" t="s">
        <v>302</v>
      </c>
      <c r="F33" s="79" t="s">
        <v>240</v>
      </c>
      <c r="G33" s="30"/>
      <c r="H33" s="30"/>
      <c r="I33" s="39">
        <f t="shared" si="0"/>
        <v>0</v>
      </c>
      <c r="J33" s="30"/>
      <c r="K33" s="32"/>
      <c r="L33" s="32"/>
      <c r="M33" s="3"/>
    </row>
    <row r="34" spans="1:13" ht="28.8" x14ac:dyDescent="0.3">
      <c r="A34" s="32">
        <v>30</v>
      </c>
      <c r="B34" s="36" t="str">
        <f>Dashboard!$A$14</f>
        <v>1 Week Prior Event Planning</v>
      </c>
      <c r="C34" s="3" t="s">
        <v>303</v>
      </c>
      <c r="D34" s="3" t="s">
        <v>304</v>
      </c>
      <c r="E34" s="46" t="s">
        <v>302</v>
      </c>
      <c r="F34" s="82"/>
      <c r="G34" s="30"/>
      <c r="H34" s="30"/>
      <c r="I34" s="39">
        <f t="shared" si="0"/>
        <v>0</v>
      </c>
      <c r="J34" s="30"/>
      <c r="K34" s="32"/>
      <c r="L34" s="32"/>
      <c r="M34" s="3"/>
    </row>
    <row r="35" spans="1:13" x14ac:dyDescent="0.3">
      <c r="A35" s="32">
        <v>31</v>
      </c>
      <c r="B35" s="36" t="str">
        <f>Dashboard!$A$14</f>
        <v>1 Week Prior Event Planning</v>
      </c>
      <c r="C35" s="3" t="s">
        <v>351</v>
      </c>
      <c r="D35" s="3" t="s">
        <v>307</v>
      </c>
      <c r="E35" s="46" t="s">
        <v>216</v>
      </c>
      <c r="F35" s="79" t="s">
        <v>308</v>
      </c>
      <c r="G35" s="30"/>
      <c r="H35" s="30"/>
      <c r="I35" s="39">
        <f t="shared" si="0"/>
        <v>0</v>
      </c>
      <c r="J35" s="30"/>
      <c r="K35" s="32"/>
      <c r="L35" s="32"/>
      <c r="M35" s="3"/>
    </row>
    <row r="36" spans="1:13" x14ac:dyDescent="0.3">
      <c r="A36" s="32">
        <v>32</v>
      </c>
      <c r="B36" s="36" t="str">
        <f>Dashboard!$A$14</f>
        <v>1 Week Prior Event Planning</v>
      </c>
      <c r="C36" s="3" t="s">
        <v>352</v>
      </c>
      <c r="D36" s="3" t="s">
        <v>310</v>
      </c>
      <c r="E36" s="46" t="s">
        <v>216</v>
      </c>
      <c r="F36" s="80"/>
      <c r="G36" s="30"/>
      <c r="H36" s="30"/>
      <c r="I36" s="39">
        <f t="shared" si="0"/>
        <v>0</v>
      </c>
      <c r="J36" s="30"/>
      <c r="K36" s="32"/>
      <c r="L36" s="32"/>
      <c r="M36" s="3"/>
    </row>
    <row r="37" spans="1:13" x14ac:dyDescent="0.3">
      <c r="A37" s="32">
        <v>33</v>
      </c>
      <c r="B37" s="37" t="str">
        <f>Dashboard!$A$15</f>
        <v>Day-of Event Execution</v>
      </c>
      <c r="C37" s="46" t="s">
        <v>311</v>
      </c>
      <c r="D37" s="3" t="s">
        <v>312</v>
      </c>
      <c r="E37" s="46" t="s">
        <v>216</v>
      </c>
      <c r="F37" s="80" t="s">
        <v>227</v>
      </c>
      <c r="G37" s="30"/>
      <c r="H37" s="30"/>
      <c r="I37" s="39">
        <f t="shared" si="0"/>
        <v>0</v>
      </c>
      <c r="J37" s="30"/>
      <c r="K37" s="32"/>
      <c r="L37" s="32"/>
      <c r="M37" s="3"/>
    </row>
    <row r="38" spans="1:13" x14ac:dyDescent="0.3">
      <c r="A38" s="32">
        <v>34</v>
      </c>
      <c r="B38" s="37" t="str">
        <f>Dashboard!$A$15</f>
        <v>Day-of Event Execution</v>
      </c>
      <c r="C38" s="3" t="s">
        <v>314</v>
      </c>
      <c r="D38" s="3" t="s">
        <v>315</v>
      </c>
      <c r="E38" s="46" t="s">
        <v>216</v>
      </c>
      <c r="F38" s="80"/>
      <c r="G38" s="30"/>
      <c r="H38" s="30"/>
      <c r="I38" s="39">
        <f t="shared" si="0"/>
        <v>0</v>
      </c>
      <c r="J38" s="30"/>
      <c r="K38" s="32"/>
      <c r="L38" s="32"/>
      <c r="M38" s="3"/>
    </row>
    <row r="39" spans="1:13" ht="29.1" customHeight="1" x14ac:dyDescent="0.3">
      <c r="A39" s="32">
        <v>35</v>
      </c>
      <c r="B39" s="37" t="str">
        <f>Dashboard!$A$15</f>
        <v>Day-of Event Execution</v>
      </c>
      <c r="C39" s="3" t="s">
        <v>316</v>
      </c>
      <c r="D39" s="3" t="s">
        <v>317</v>
      </c>
      <c r="E39" s="46" t="s">
        <v>216</v>
      </c>
      <c r="F39" s="80"/>
      <c r="G39" s="30"/>
      <c r="H39" s="30"/>
      <c r="I39" s="39">
        <f t="shared" si="0"/>
        <v>0</v>
      </c>
      <c r="J39" s="30"/>
      <c r="K39" s="32"/>
      <c r="L39" s="32"/>
      <c r="M39" s="3"/>
    </row>
    <row r="40" spans="1:13" ht="61.5" customHeight="1" x14ac:dyDescent="0.3">
      <c r="A40" s="32">
        <v>36</v>
      </c>
      <c r="B40" s="37" t="str">
        <f>Dashboard!$A$15</f>
        <v>Day-of Event Execution</v>
      </c>
      <c r="C40" s="3" t="s">
        <v>318</v>
      </c>
      <c r="D40" s="3" t="s">
        <v>319</v>
      </c>
      <c r="E40" s="46" t="s">
        <v>216</v>
      </c>
      <c r="F40" s="80"/>
      <c r="G40" s="30"/>
      <c r="H40" s="30"/>
      <c r="I40" s="39">
        <f t="shared" si="0"/>
        <v>0</v>
      </c>
      <c r="J40" s="30"/>
      <c r="K40" s="32"/>
      <c r="L40" s="32"/>
      <c r="M40" s="3"/>
    </row>
    <row r="41" spans="1:13" ht="29.1" customHeight="1" x14ac:dyDescent="0.3">
      <c r="A41" s="32">
        <v>37</v>
      </c>
      <c r="B41" s="37" t="str">
        <f>Dashboard!$A$15</f>
        <v>Day-of Event Execution</v>
      </c>
      <c r="C41" s="3" t="s">
        <v>320</v>
      </c>
      <c r="D41" s="3" t="s">
        <v>321</v>
      </c>
      <c r="E41" s="46" t="s">
        <v>216</v>
      </c>
      <c r="F41" s="80"/>
      <c r="G41" s="30"/>
      <c r="H41" s="30"/>
      <c r="I41" s="39">
        <f t="shared" si="0"/>
        <v>0</v>
      </c>
      <c r="J41" s="30"/>
      <c r="K41" s="32"/>
      <c r="L41" s="32"/>
      <c r="M41" s="3"/>
    </row>
    <row r="42" spans="1:13" x14ac:dyDescent="0.3">
      <c r="A42" s="32">
        <v>38</v>
      </c>
      <c r="B42" s="37" t="str">
        <f>Dashboard!$A$15</f>
        <v>Day-of Event Execution</v>
      </c>
      <c r="C42" s="3" t="s">
        <v>323</v>
      </c>
      <c r="D42" s="3" t="s">
        <v>324</v>
      </c>
      <c r="E42" s="46" t="s">
        <v>216</v>
      </c>
      <c r="F42" s="80"/>
      <c r="G42" s="30"/>
      <c r="H42" s="30"/>
      <c r="I42" s="39">
        <f t="shared" si="0"/>
        <v>0</v>
      </c>
      <c r="J42" s="30"/>
      <c r="K42" s="32"/>
      <c r="L42" s="32"/>
      <c r="M42" s="3"/>
    </row>
    <row r="43" spans="1:13" x14ac:dyDescent="0.3">
      <c r="A43" s="32">
        <v>39</v>
      </c>
      <c r="B43" s="38" t="str">
        <f>Dashboard!$A$16</f>
        <v>Post-Event Follow-Up</v>
      </c>
      <c r="C43" s="3" t="s">
        <v>325</v>
      </c>
      <c r="D43" s="3" t="s">
        <v>312</v>
      </c>
      <c r="E43" s="46" t="s">
        <v>216</v>
      </c>
      <c r="F43" s="80"/>
      <c r="G43" s="30"/>
      <c r="H43" s="30"/>
      <c r="I43" s="39">
        <f t="shared" si="0"/>
        <v>0</v>
      </c>
      <c r="J43" s="30"/>
      <c r="K43" s="32"/>
      <c r="L43" s="32"/>
      <c r="M43" s="3"/>
    </row>
    <row r="44" spans="1:13" ht="28.8" x14ac:dyDescent="0.3">
      <c r="A44" s="32">
        <v>40</v>
      </c>
      <c r="B44" s="38" t="str">
        <f>Dashboard!$A$16</f>
        <v>Post-Event Follow-Up</v>
      </c>
      <c r="C44" s="3" t="s">
        <v>326</v>
      </c>
      <c r="D44" s="8" t="s">
        <v>327</v>
      </c>
      <c r="E44" s="46" t="s">
        <v>328</v>
      </c>
      <c r="F44" s="82"/>
      <c r="G44" s="30"/>
      <c r="H44" s="30"/>
      <c r="I44" s="39">
        <f t="shared" si="0"/>
        <v>0</v>
      </c>
      <c r="J44" s="30"/>
      <c r="K44" s="32"/>
      <c r="L44" s="32"/>
      <c r="M44" s="3"/>
    </row>
    <row r="45" spans="1:13" ht="29.1" customHeight="1" x14ac:dyDescent="0.3">
      <c r="A45" s="32">
        <v>41</v>
      </c>
      <c r="B45" s="38" t="str">
        <f>Dashboard!$A$16</f>
        <v>Post-Event Follow-Up</v>
      </c>
      <c r="C45" s="3" t="s">
        <v>329</v>
      </c>
      <c r="D45" s="3" t="s">
        <v>209</v>
      </c>
      <c r="E45" s="46" t="s">
        <v>216</v>
      </c>
      <c r="F45" s="79" t="s">
        <v>330</v>
      </c>
      <c r="G45" s="30"/>
      <c r="H45" s="30"/>
      <c r="I45" s="39">
        <f>_xlfn.DAYS(H45,G45)</f>
        <v>0</v>
      </c>
      <c r="J45" s="30"/>
      <c r="K45" s="32"/>
      <c r="L45" s="32"/>
      <c r="M45" s="3"/>
    </row>
    <row r="46" spans="1:13" x14ac:dyDescent="0.3">
      <c r="A46" s="32">
        <v>42</v>
      </c>
      <c r="B46" s="38" t="str">
        <f>Dashboard!$A$16</f>
        <v>Post-Event Follow-Up</v>
      </c>
      <c r="C46" s="3" t="s">
        <v>210</v>
      </c>
      <c r="D46" s="3" t="s">
        <v>211</v>
      </c>
      <c r="E46" s="46" t="s">
        <v>216</v>
      </c>
      <c r="F46" s="82"/>
      <c r="G46" s="30"/>
      <c r="H46" s="30"/>
      <c r="I46" s="39">
        <f t="shared" si="0"/>
        <v>0</v>
      </c>
      <c r="J46" s="30"/>
      <c r="K46" s="32"/>
      <c r="L46" s="32"/>
      <c r="M46" s="3"/>
    </row>
  </sheetData>
  <mergeCells count="14">
    <mergeCell ref="F35:F36"/>
    <mergeCell ref="F45:F46"/>
    <mergeCell ref="F37:F44"/>
    <mergeCell ref="F27:F28"/>
    <mergeCell ref="F29:F32"/>
    <mergeCell ref="F33:F34"/>
    <mergeCell ref="F13:F14"/>
    <mergeCell ref="F15:F16"/>
    <mergeCell ref="F21:F26"/>
    <mergeCell ref="F19:F20"/>
    <mergeCell ref="A1:D1"/>
    <mergeCell ref="F4:F5"/>
    <mergeCell ref="F6:F9"/>
    <mergeCell ref="F11:F12"/>
  </mergeCells>
  <phoneticPr fontId="10" type="noConversion"/>
  <conditionalFormatting sqref="L4:L56">
    <cfRule type="containsText" dxfId="5" priority="1" operator="containsText" text="In Progress">
      <formula>NOT(ISERROR(SEARCH("In Progress",L4)))</formula>
    </cfRule>
    <cfRule type="containsText" dxfId="4" priority="2" operator="containsText" text="Complete">
      <formula>NOT(ISERROR(SEARCH("Complete",L4)))</formula>
    </cfRule>
  </conditionalFormatting>
  <dataValidations count="1">
    <dataValidation type="list" allowBlank="1" showInputMessage="1" showErrorMessage="1" sqref="L4:L46" xr:uid="{E9BDFD3A-A46A-458E-9ECF-A21101696B9E}">
      <formula1>"Complete, In progress, --"</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7EF895B-2B6E-4124-AC2B-3B4774EE35DC}">
          <x14:formula1>
            <xm:f>Dashboard!$A$20:$A$30</xm:f>
          </x14:formula1>
          <xm:sqref>K4:K46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651D-7C69-4073-AC2B-99C84BF935FC}">
  <dimension ref="A1:N50"/>
  <sheetViews>
    <sheetView zoomScale="85" zoomScaleNormal="100" workbookViewId="0">
      <selection activeCell="D3" sqref="D3"/>
    </sheetView>
  </sheetViews>
  <sheetFormatPr defaultRowHeight="14.4" x14ac:dyDescent="0.3"/>
  <cols>
    <col min="1" max="1" width="6.33203125" customWidth="1"/>
    <col min="2" max="2" width="26" style="2" customWidth="1"/>
    <col min="3" max="4" width="42" style="1" customWidth="1"/>
    <col min="5" max="5" width="65" style="1" customWidth="1"/>
    <col min="6" max="6" width="31.88671875" style="1" customWidth="1"/>
    <col min="7" max="7" width="24" style="43" customWidth="1"/>
    <col min="8" max="9" width="16" style="40" customWidth="1"/>
    <col min="10" max="10" width="16" style="41" customWidth="1"/>
    <col min="11" max="11" width="16" customWidth="1"/>
    <col min="12" max="12" width="18" customWidth="1"/>
    <col min="13" max="13" width="23.44140625" customWidth="1"/>
    <col min="14" max="14" width="26" customWidth="1"/>
  </cols>
  <sheetData>
    <row r="1" spans="1:14" x14ac:dyDescent="0.3">
      <c r="A1" s="81" t="s">
        <v>51</v>
      </c>
      <c r="B1" s="81"/>
      <c r="C1" s="81"/>
      <c r="D1" s="81"/>
      <c r="E1" s="81"/>
      <c r="F1" s="16"/>
      <c r="G1" s="16"/>
      <c r="H1" s="16"/>
      <c r="I1" s="16"/>
      <c r="J1" s="16"/>
      <c r="K1" s="16"/>
      <c r="L1" s="4"/>
      <c r="M1" s="4"/>
      <c r="N1" s="4"/>
    </row>
    <row r="2" spans="1:14" ht="32.1" customHeight="1" x14ac:dyDescent="0.3">
      <c r="A2" s="31" t="s">
        <v>52</v>
      </c>
      <c r="B2" s="31" t="s">
        <v>8</v>
      </c>
      <c r="C2" s="31" t="s">
        <v>53</v>
      </c>
      <c r="D2" s="31"/>
      <c r="E2" s="31" t="s">
        <v>54</v>
      </c>
      <c r="F2" s="31" t="s">
        <v>55</v>
      </c>
      <c r="G2" s="31" t="s">
        <v>56</v>
      </c>
      <c r="H2" s="31" t="s">
        <v>57</v>
      </c>
      <c r="I2" s="31" t="s">
        <v>58</v>
      </c>
      <c r="J2" s="31" t="s">
        <v>59</v>
      </c>
      <c r="K2" s="31" t="s">
        <v>60</v>
      </c>
      <c r="L2" s="31" t="s">
        <v>16</v>
      </c>
      <c r="M2" s="31" t="s">
        <v>61</v>
      </c>
      <c r="N2" s="31" t="s">
        <v>62</v>
      </c>
    </row>
    <row r="3" spans="1:14" ht="32.1" customHeight="1" x14ac:dyDescent="0.3">
      <c r="A3" s="52"/>
      <c r="B3" s="53"/>
      <c r="C3" s="55" t="s">
        <v>353</v>
      </c>
      <c r="D3" s="52"/>
      <c r="E3" s="52"/>
      <c r="F3" s="52"/>
      <c r="G3" s="53"/>
      <c r="H3" s="52"/>
      <c r="I3" s="52"/>
      <c r="J3" s="52"/>
      <c r="K3" s="52"/>
      <c r="L3" s="52"/>
      <c r="M3" s="52"/>
      <c r="N3" s="52"/>
    </row>
    <row r="4" spans="1:14" ht="32.1" customHeight="1" x14ac:dyDescent="0.3">
      <c r="A4" s="52"/>
      <c r="B4" s="53"/>
      <c r="C4" s="55" t="s">
        <v>354</v>
      </c>
      <c r="D4" s="52"/>
      <c r="E4" s="52"/>
      <c r="F4" s="52"/>
      <c r="G4" s="53"/>
      <c r="H4" s="52"/>
      <c r="I4" s="52"/>
      <c r="J4" s="52"/>
      <c r="K4" s="52"/>
      <c r="L4" s="52"/>
      <c r="M4" s="52"/>
      <c r="N4" s="52"/>
    </row>
    <row r="5" spans="1:14" ht="32.1" customHeight="1" x14ac:dyDescent="0.3">
      <c r="A5" s="52"/>
      <c r="B5" s="53"/>
      <c r="C5" s="55" t="s">
        <v>212</v>
      </c>
      <c r="D5" s="52"/>
      <c r="E5" s="52"/>
      <c r="F5" s="52"/>
      <c r="G5" s="53"/>
      <c r="H5" s="52"/>
      <c r="I5" s="52"/>
      <c r="J5" s="52"/>
      <c r="K5" s="52"/>
      <c r="L5" s="52"/>
      <c r="M5" s="52"/>
      <c r="N5" s="52"/>
    </row>
    <row r="6" spans="1:14" ht="54.9" customHeight="1" x14ac:dyDescent="0.3">
      <c r="A6" s="32">
        <v>1</v>
      </c>
      <c r="B6" s="33" t="s">
        <v>63</v>
      </c>
      <c r="C6" s="3" t="s">
        <v>213</v>
      </c>
      <c r="D6" s="3" t="s">
        <v>214</v>
      </c>
      <c r="E6" s="3" t="s">
        <v>215</v>
      </c>
      <c r="F6" s="46" t="s">
        <v>216</v>
      </c>
      <c r="G6" s="79" t="s">
        <v>217</v>
      </c>
      <c r="H6" s="30">
        <v>46223</v>
      </c>
      <c r="I6" s="30">
        <v>46225</v>
      </c>
      <c r="J6" s="39">
        <f t="shared" ref="J6:J50" si="0">_xlfn.DAYS(I6,H6)</f>
        <v>2</v>
      </c>
      <c r="K6" s="30"/>
      <c r="L6" s="32" t="s">
        <v>38</v>
      </c>
      <c r="M6" s="32" t="s">
        <v>218</v>
      </c>
      <c r="N6" s="3"/>
    </row>
    <row r="7" spans="1:14" ht="69" customHeight="1" x14ac:dyDescent="0.3">
      <c r="A7" s="32">
        <v>2</v>
      </c>
      <c r="B7" s="33" t="s">
        <v>63</v>
      </c>
      <c r="C7" s="3" t="s">
        <v>219</v>
      </c>
      <c r="D7" s="3" t="s">
        <v>220</v>
      </c>
      <c r="E7" s="3" t="s">
        <v>221</v>
      </c>
      <c r="F7" s="46" t="s">
        <v>222</v>
      </c>
      <c r="G7" s="82"/>
      <c r="H7" s="30">
        <v>46225</v>
      </c>
      <c r="I7" s="30">
        <v>46228</v>
      </c>
      <c r="J7" s="39">
        <f t="shared" si="0"/>
        <v>3</v>
      </c>
      <c r="K7" s="30"/>
      <c r="L7" s="32" t="s">
        <v>40</v>
      </c>
      <c r="M7" s="32" t="s">
        <v>223</v>
      </c>
      <c r="N7" s="3"/>
    </row>
    <row r="8" spans="1:14" ht="29.1" customHeight="1" x14ac:dyDescent="0.3">
      <c r="A8" s="32">
        <v>3</v>
      </c>
      <c r="B8" s="33" t="str">
        <f>Dashboard!$A$11</f>
        <v>Pre-Event Planning</v>
      </c>
      <c r="C8" s="3" t="s">
        <v>224</v>
      </c>
      <c r="D8" s="3" t="s">
        <v>225</v>
      </c>
      <c r="E8" s="3" t="s">
        <v>226</v>
      </c>
      <c r="F8" s="46" t="s">
        <v>216</v>
      </c>
      <c r="G8" s="79" t="s">
        <v>227</v>
      </c>
      <c r="H8" s="30"/>
      <c r="I8" s="30"/>
      <c r="J8" s="39">
        <f>_xlfn.DAYS(I8,H8)</f>
        <v>0</v>
      </c>
      <c r="K8" s="30"/>
      <c r="L8" s="32" t="s">
        <v>39</v>
      </c>
      <c r="M8" s="32" t="s">
        <v>218</v>
      </c>
      <c r="N8" s="3"/>
    </row>
    <row r="9" spans="1:14" ht="30.9" customHeight="1" x14ac:dyDescent="0.3">
      <c r="A9" s="32">
        <v>4</v>
      </c>
      <c r="B9" s="33" t="str">
        <f>Dashboard!$A$11</f>
        <v>Pre-Event Planning</v>
      </c>
      <c r="C9" s="3" t="s">
        <v>228</v>
      </c>
      <c r="D9" s="3"/>
      <c r="E9" s="3" t="s">
        <v>229</v>
      </c>
      <c r="F9" s="46" t="s">
        <v>216</v>
      </c>
      <c r="G9" s="80"/>
      <c r="H9" s="30"/>
      <c r="I9" s="30"/>
      <c r="J9" s="39">
        <f t="shared" si="0"/>
        <v>0</v>
      </c>
      <c r="K9" s="30"/>
      <c r="L9" s="32" t="s">
        <v>38</v>
      </c>
      <c r="M9" s="32"/>
      <c r="N9" s="3"/>
    </row>
    <row r="10" spans="1:14" ht="28.8" x14ac:dyDescent="0.3">
      <c r="A10" s="32">
        <v>5</v>
      </c>
      <c r="B10" s="33" t="str">
        <f>Dashboard!$A$11</f>
        <v>Pre-Event Planning</v>
      </c>
      <c r="C10" s="3" t="s">
        <v>230</v>
      </c>
      <c r="D10" s="3"/>
      <c r="E10" s="3" t="s">
        <v>231</v>
      </c>
      <c r="F10" s="46" t="s">
        <v>216</v>
      </c>
      <c r="G10" s="80"/>
      <c r="H10" s="30"/>
      <c r="I10" s="30"/>
      <c r="J10" s="39">
        <f t="shared" si="0"/>
        <v>0</v>
      </c>
      <c r="K10" s="30"/>
      <c r="L10" s="32" t="s">
        <v>38</v>
      </c>
      <c r="M10" s="32"/>
      <c r="N10" s="3"/>
    </row>
    <row r="11" spans="1:14" ht="28.8" x14ac:dyDescent="0.3">
      <c r="A11" s="32">
        <v>6</v>
      </c>
      <c r="B11" s="33" t="str">
        <f>Dashboard!$A$11</f>
        <v>Pre-Event Planning</v>
      </c>
      <c r="C11" s="3" t="s">
        <v>232</v>
      </c>
      <c r="D11" s="3"/>
      <c r="E11" s="3" t="s">
        <v>233</v>
      </c>
      <c r="F11" s="46" t="s">
        <v>216</v>
      </c>
      <c r="G11" s="82"/>
      <c r="H11" s="30"/>
      <c r="I11" s="30"/>
      <c r="J11" s="39">
        <f t="shared" si="0"/>
        <v>0</v>
      </c>
      <c r="K11" s="30"/>
      <c r="L11" s="32"/>
      <c r="M11" s="32"/>
      <c r="N11" s="3"/>
    </row>
    <row r="12" spans="1:14" ht="43.2" x14ac:dyDescent="0.3">
      <c r="A12" s="32">
        <v>7</v>
      </c>
      <c r="B12" s="33" t="str">
        <f>Dashboard!$A$11</f>
        <v>Pre-Event Planning</v>
      </c>
      <c r="C12" s="3" t="s">
        <v>234</v>
      </c>
      <c r="D12" s="50" t="s">
        <v>235</v>
      </c>
      <c r="E12" s="5" t="s">
        <v>236</v>
      </c>
      <c r="F12" s="46" t="s">
        <v>237</v>
      </c>
      <c r="G12" s="28" t="s">
        <v>217</v>
      </c>
      <c r="H12" s="30"/>
      <c r="I12" s="30"/>
      <c r="J12" s="39">
        <f t="shared" si="0"/>
        <v>0</v>
      </c>
      <c r="K12" s="30"/>
      <c r="L12" s="32"/>
      <c r="M12" s="32"/>
      <c r="N12" s="3"/>
    </row>
    <row r="13" spans="1:14" ht="28.8" x14ac:dyDescent="0.3">
      <c r="A13" s="32">
        <v>8</v>
      </c>
      <c r="B13" s="34" t="str">
        <f>Dashboard!$A$12</f>
        <v>Outreach &amp; Registration</v>
      </c>
      <c r="C13" s="3" t="s">
        <v>238</v>
      </c>
      <c r="D13" s="5"/>
      <c r="E13" s="5" t="s">
        <v>239</v>
      </c>
      <c r="F13" s="46" t="s">
        <v>216</v>
      </c>
      <c r="G13" s="79" t="s">
        <v>240</v>
      </c>
      <c r="H13" s="30"/>
      <c r="I13" s="30"/>
      <c r="J13" s="39">
        <f t="shared" si="0"/>
        <v>0</v>
      </c>
      <c r="K13" s="30"/>
      <c r="L13" s="32"/>
      <c r="M13" s="32"/>
      <c r="N13" s="3"/>
    </row>
    <row r="14" spans="1:14" ht="43.2" x14ac:dyDescent="0.3">
      <c r="A14" s="32">
        <v>9</v>
      </c>
      <c r="B14" s="34" t="str">
        <f>Dashboard!$A$12</f>
        <v>Outreach &amp; Registration</v>
      </c>
      <c r="C14" s="3" t="s">
        <v>241</v>
      </c>
      <c r="D14" s="5"/>
      <c r="E14" s="5" t="s">
        <v>242</v>
      </c>
      <c r="F14" s="47" t="s">
        <v>243</v>
      </c>
      <c r="G14" s="80"/>
      <c r="H14" s="30"/>
      <c r="I14" s="30"/>
      <c r="J14" s="39">
        <f t="shared" si="0"/>
        <v>0</v>
      </c>
      <c r="K14" s="30"/>
      <c r="L14" s="32"/>
      <c r="M14" s="32"/>
      <c r="N14" s="3"/>
    </row>
    <row r="15" spans="1:14" x14ac:dyDescent="0.3">
      <c r="A15" s="32">
        <v>10</v>
      </c>
      <c r="B15" s="33" t="s">
        <v>244</v>
      </c>
      <c r="C15" s="3" t="s">
        <v>245</v>
      </c>
      <c r="D15" s="3"/>
      <c r="E15" s="3" t="s">
        <v>246</v>
      </c>
      <c r="F15" s="46" t="s">
        <v>216</v>
      </c>
      <c r="G15" s="80" t="s">
        <v>247</v>
      </c>
      <c r="H15" s="30"/>
      <c r="I15" s="30"/>
      <c r="J15" s="39">
        <f t="shared" si="0"/>
        <v>0</v>
      </c>
      <c r="K15" s="30"/>
      <c r="L15" s="32"/>
      <c r="M15" s="32"/>
      <c r="N15" s="3"/>
    </row>
    <row r="16" spans="1:14" x14ac:dyDescent="0.3">
      <c r="A16" s="32">
        <v>11</v>
      </c>
      <c r="B16" s="33" t="s">
        <v>244</v>
      </c>
      <c r="C16" s="3" t="s">
        <v>248</v>
      </c>
      <c r="D16" s="3"/>
      <c r="E16" s="3" t="s">
        <v>249</v>
      </c>
      <c r="F16" s="46" t="s">
        <v>216</v>
      </c>
      <c r="G16" s="82"/>
      <c r="H16" s="30"/>
      <c r="I16" s="30"/>
      <c r="J16" s="39">
        <f t="shared" si="0"/>
        <v>0</v>
      </c>
      <c r="K16" s="30"/>
      <c r="L16" s="32"/>
      <c r="M16" s="32"/>
      <c r="N16" s="3"/>
    </row>
    <row r="17" spans="1:14" ht="28.8" x14ac:dyDescent="0.3">
      <c r="A17" s="32">
        <v>12</v>
      </c>
      <c r="B17" s="33" t="s">
        <v>244</v>
      </c>
      <c r="C17" s="3" t="s">
        <v>250</v>
      </c>
      <c r="D17" s="3"/>
      <c r="E17" s="3" t="s">
        <v>251</v>
      </c>
      <c r="F17" s="46" t="s">
        <v>216</v>
      </c>
      <c r="G17" s="79" t="s">
        <v>217</v>
      </c>
      <c r="H17" s="30"/>
      <c r="I17" s="30"/>
      <c r="J17" s="39">
        <f t="shared" si="0"/>
        <v>0</v>
      </c>
      <c r="K17" s="30"/>
      <c r="L17" s="32"/>
      <c r="M17" s="32"/>
      <c r="N17" s="3"/>
    </row>
    <row r="18" spans="1:14" ht="28.8" x14ac:dyDescent="0.3">
      <c r="A18" s="32">
        <v>13</v>
      </c>
      <c r="B18" s="33" t="s">
        <v>244</v>
      </c>
      <c r="C18" s="3" t="s">
        <v>252</v>
      </c>
      <c r="D18" s="3"/>
      <c r="E18" s="3" t="s">
        <v>253</v>
      </c>
      <c r="F18" s="46" t="s">
        <v>254</v>
      </c>
      <c r="G18" s="82"/>
      <c r="H18" s="30"/>
      <c r="I18" s="30"/>
      <c r="J18" s="39">
        <f t="shared" si="0"/>
        <v>0</v>
      </c>
      <c r="K18" s="30"/>
      <c r="L18" s="32"/>
      <c r="M18" s="32"/>
      <c r="N18" s="3"/>
    </row>
    <row r="19" spans="1:14" ht="53.1" customHeight="1" x14ac:dyDescent="0.3">
      <c r="A19" s="32">
        <v>14</v>
      </c>
      <c r="B19" s="34" t="str">
        <f>Dashboard!$A$12</f>
        <v>Outreach &amp; Registration</v>
      </c>
      <c r="C19" s="3" t="s">
        <v>255</v>
      </c>
      <c r="D19" s="8" t="s">
        <v>256</v>
      </c>
      <c r="E19" s="3" t="s">
        <v>257</v>
      </c>
      <c r="F19" s="46" t="s">
        <v>258</v>
      </c>
      <c r="G19" s="28" t="s">
        <v>240</v>
      </c>
      <c r="H19" s="30"/>
      <c r="I19" s="30"/>
      <c r="J19" s="39">
        <f t="shared" si="0"/>
        <v>0</v>
      </c>
      <c r="K19" s="30"/>
      <c r="L19" s="32"/>
      <c r="M19" s="32"/>
      <c r="N19" s="3"/>
    </row>
    <row r="20" spans="1:14" ht="30.6" customHeight="1" x14ac:dyDescent="0.3">
      <c r="A20" s="32">
        <v>15</v>
      </c>
      <c r="B20" s="33" t="s">
        <v>244</v>
      </c>
      <c r="C20" s="3" t="s">
        <v>259</v>
      </c>
      <c r="D20" s="3"/>
      <c r="E20" s="3" t="s">
        <v>260</v>
      </c>
      <c r="F20" s="46" t="s">
        <v>261</v>
      </c>
      <c r="G20" s="28" t="s">
        <v>240</v>
      </c>
      <c r="H20" s="30"/>
      <c r="I20" s="30"/>
      <c r="J20" s="39">
        <f t="shared" si="0"/>
        <v>0</v>
      </c>
      <c r="K20" s="30"/>
      <c r="L20" s="32"/>
      <c r="M20" s="32"/>
      <c r="N20" s="3"/>
    </row>
    <row r="21" spans="1:14" ht="29.1" customHeight="1" x14ac:dyDescent="0.3">
      <c r="A21" s="32">
        <v>16</v>
      </c>
      <c r="B21" s="33" t="s">
        <v>244</v>
      </c>
      <c r="C21" s="3" t="s">
        <v>262</v>
      </c>
      <c r="D21" s="3"/>
      <c r="E21" s="3" t="s">
        <v>263</v>
      </c>
      <c r="F21" s="46" t="s">
        <v>264</v>
      </c>
      <c r="G21" s="79" t="s">
        <v>265</v>
      </c>
      <c r="H21" s="30"/>
      <c r="I21" s="30"/>
      <c r="J21" s="39">
        <f t="shared" si="0"/>
        <v>0</v>
      </c>
      <c r="K21" s="30"/>
      <c r="L21" s="32"/>
      <c r="M21" s="32"/>
      <c r="N21" s="3"/>
    </row>
    <row r="22" spans="1:14" ht="28.8" x14ac:dyDescent="0.3">
      <c r="A22" s="32">
        <v>17</v>
      </c>
      <c r="B22" s="33" t="s">
        <v>244</v>
      </c>
      <c r="C22" s="3"/>
      <c r="D22" s="3"/>
      <c r="E22" s="3" t="s">
        <v>266</v>
      </c>
      <c r="F22" s="46" t="s">
        <v>267</v>
      </c>
      <c r="G22" s="82"/>
      <c r="H22" s="30"/>
      <c r="I22" s="30"/>
      <c r="J22" s="39">
        <f t="shared" si="0"/>
        <v>0</v>
      </c>
      <c r="K22" s="30"/>
      <c r="L22" s="32"/>
      <c r="M22" s="32"/>
      <c r="N22" s="3"/>
    </row>
    <row r="23" spans="1:14" x14ac:dyDescent="0.3">
      <c r="A23" s="32">
        <v>18</v>
      </c>
      <c r="B23" s="35" t="str">
        <f>Dashboard!$A$13</f>
        <v>Pre-Event Logistics</v>
      </c>
      <c r="C23" s="3" t="s">
        <v>268</v>
      </c>
      <c r="D23" s="3"/>
      <c r="E23" s="3" t="s">
        <v>269</v>
      </c>
      <c r="F23" s="46" t="s">
        <v>216</v>
      </c>
      <c r="G23" s="79" t="s">
        <v>270</v>
      </c>
      <c r="H23" s="30"/>
      <c r="I23" s="30"/>
      <c r="J23" s="39">
        <f t="shared" si="0"/>
        <v>0</v>
      </c>
      <c r="K23" s="30"/>
      <c r="L23" s="32"/>
      <c r="M23" s="32"/>
      <c r="N23" s="3"/>
    </row>
    <row r="24" spans="1:14" x14ac:dyDescent="0.3">
      <c r="A24" s="32"/>
      <c r="B24" s="35" t="str">
        <f>Dashboard!$A$13</f>
        <v>Pre-Event Logistics</v>
      </c>
      <c r="C24" s="3" t="s">
        <v>271</v>
      </c>
      <c r="D24" s="3"/>
      <c r="E24" s="3" t="s">
        <v>272</v>
      </c>
      <c r="F24" s="46" t="s">
        <v>216</v>
      </c>
      <c r="G24" s="80"/>
      <c r="H24" s="30"/>
      <c r="I24" s="30"/>
      <c r="J24" s="39"/>
      <c r="K24" s="30"/>
      <c r="L24" s="32"/>
      <c r="M24" s="32"/>
      <c r="N24" s="3"/>
    </row>
    <row r="25" spans="1:14" ht="28.8" x14ac:dyDescent="0.3">
      <c r="A25" s="32">
        <v>19</v>
      </c>
      <c r="B25" s="35" t="str">
        <f>Dashboard!$A$13</f>
        <v>Pre-Event Logistics</v>
      </c>
      <c r="C25" s="3" t="s">
        <v>273</v>
      </c>
      <c r="D25" s="3"/>
      <c r="E25" s="3" t="s">
        <v>274</v>
      </c>
      <c r="F25" s="46" t="s">
        <v>275</v>
      </c>
      <c r="G25" s="80"/>
      <c r="H25" s="30"/>
      <c r="I25" s="30"/>
      <c r="J25" s="39">
        <f t="shared" si="0"/>
        <v>0</v>
      </c>
      <c r="K25" s="30"/>
      <c r="L25" s="32"/>
      <c r="M25" s="32"/>
      <c r="N25" s="3"/>
    </row>
    <row r="26" spans="1:14" ht="28.8" x14ac:dyDescent="0.3">
      <c r="A26" s="32">
        <v>20</v>
      </c>
      <c r="B26" s="35" t="str">
        <f>Dashboard!$A$13</f>
        <v>Pre-Event Logistics</v>
      </c>
      <c r="C26" s="3" t="s">
        <v>276</v>
      </c>
      <c r="D26" s="3"/>
      <c r="E26" s="3" t="s">
        <v>277</v>
      </c>
      <c r="F26" s="46" t="s">
        <v>216</v>
      </c>
      <c r="G26" s="80"/>
      <c r="H26" s="30"/>
      <c r="I26" s="30"/>
      <c r="J26" s="39">
        <f t="shared" si="0"/>
        <v>0</v>
      </c>
      <c r="K26" s="30"/>
      <c r="L26" s="32"/>
      <c r="M26" s="32"/>
      <c r="N26" s="3"/>
    </row>
    <row r="27" spans="1:14" x14ac:dyDescent="0.3">
      <c r="A27" s="32">
        <v>21</v>
      </c>
      <c r="B27" s="35" t="str">
        <f>Dashboard!$A$13</f>
        <v>Pre-Event Logistics</v>
      </c>
      <c r="C27" s="3" t="s">
        <v>278</v>
      </c>
      <c r="D27" s="3" t="s">
        <v>279</v>
      </c>
      <c r="E27" s="3" t="s">
        <v>280</v>
      </c>
      <c r="F27" s="46" t="s">
        <v>216</v>
      </c>
      <c r="G27" s="80"/>
      <c r="H27" s="30"/>
      <c r="I27" s="30"/>
      <c r="J27" s="39">
        <f t="shared" si="0"/>
        <v>0</v>
      </c>
      <c r="K27" s="30"/>
      <c r="L27" s="32"/>
      <c r="M27" s="32"/>
      <c r="N27" s="3"/>
    </row>
    <row r="28" spans="1:14" ht="28.8" x14ac:dyDescent="0.3">
      <c r="A28" s="32">
        <v>22</v>
      </c>
      <c r="B28" s="33" t="s">
        <v>244</v>
      </c>
      <c r="C28" s="3" t="s">
        <v>281</v>
      </c>
      <c r="D28" s="3"/>
      <c r="E28" s="3" t="s">
        <v>282</v>
      </c>
      <c r="F28" s="46" t="s">
        <v>216</v>
      </c>
      <c r="G28" s="82"/>
      <c r="H28" s="30"/>
      <c r="I28" s="30"/>
      <c r="J28" s="39">
        <f t="shared" si="0"/>
        <v>0</v>
      </c>
      <c r="K28" s="30"/>
      <c r="L28" s="32"/>
      <c r="M28" s="32"/>
      <c r="N28" s="3"/>
    </row>
    <row r="29" spans="1:14" ht="28.8" x14ac:dyDescent="0.3">
      <c r="A29" s="32"/>
      <c r="B29" s="51"/>
      <c r="C29" s="3" t="s">
        <v>283</v>
      </c>
      <c r="D29" s="3"/>
      <c r="E29" s="3"/>
      <c r="F29" s="46"/>
      <c r="G29" s="44"/>
      <c r="H29" s="30"/>
      <c r="I29" s="30"/>
      <c r="J29" s="39"/>
      <c r="K29" s="30"/>
      <c r="L29" s="32"/>
      <c r="M29" s="32"/>
      <c r="N29" s="3"/>
    </row>
    <row r="30" spans="1:14" ht="28.8" x14ac:dyDescent="0.3">
      <c r="A30" s="32">
        <v>23</v>
      </c>
      <c r="B30" s="36" t="str">
        <f>Dashboard!$A$14</f>
        <v>1 Week Prior Event Planning</v>
      </c>
      <c r="C30" s="3" t="s">
        <v>284</v>
      </c>
      <c r="D30" s="3"/>
      <c r="E30" s="3" t="s">
        <v>285</v>
      </c>
      <c r="F30" s="46" t="s">
        <v>286</v>
      </c>
      <c r="G30" s="79" t="s">
        <v>247</v>
      </c>
      <c r="H30" s="30"/>
      <c r="I30" s="30"/>
      <c r="J30" s="39">
        <f t="shared" si="0"/>
        <v>0</v>
      </c>
      <c r="K30" s="30"/>
      <c r="L30" s="32"/>
      <c r="M30" s="32"/>
      <c r="N30" s="3"/>
    </row>
    <row r="31" spans="1:14" ht="28.8" x14ac:dyDescent="0.3">
      <c r="A31" s="32">
        <v>24</v>
      </c>
      <c r="B31" s="36" t="str">
        <f>Dashboard!$A$14</f>
        <v>1 Week Prior Event Planning</v>
      </c>
      <c r="C31" s="3" t="s">
        <v>287</v>
      </c>
      <c r="D31" s="3"/>
      <c r="E31" s="3" t="s">
        <v>288</v>
      </c>
      <c r="F31" s="46" t="s">
        <v>286</v>
      </c>
      <c r="G31" s="82"/>
      <c r="H31" s="30"/>
      <c r="I31" s="30"/>
      <c r="J31" s="39">
        <f t="shared" si="0"/>
        <v>0</v>
      </c>
      <c r="K31" s="30"/>
      <c r="L31" s="32"/>
      <c r="M31" s="32"/>
      <c r="N31" s="3"/>
    </row>
    <row r="32" spans="1:14" x14ac:dyDescent="0.3">
      <c r="A32" s="32">
        <v>25</v>
      </c>
      <c r="B32" s="36" t="str">
        <f>Dashboard!$A$14</f>
        <v>1 Week Prior Event Planning</v>
      </c>
      <c r="C32" s="3" t="s">
        <v>289</v>
      </c>
      <c r="D32" s="3" t="s">
        <v>290</v>
      </c>
      <c r="E32" s="3" t="s">
        <v>291</v>
      </c>
      <c r="F32" s="46" t="s">
        <v>216</v>
      </c>
      <c r="G32" s="79" t="s">
        <v>217</v>
      </c>
      <c r="H32" s="30"/>
      <c r="I32" s="30"/>
      <c r="J32" s="39">
        <f t="shared" si="0"/>
        <v>0</v>
      </c>
      <c r="K32" s="30"/>
      <c r="L32" s="32"/>
      <c r="M32" s="32"/>
      <c r="N32" s="3"/>
    </row>
    <row r="33" spans="1:14" x14ac:dyDescent="0.3">
      <c r="A33" s="32">
        <v>26</v>
      </c>
      <c r="B33" s="36" t="s">
        <v>174</v>
      </c>
      <c r="C33" s="3" t="s">
        <v>292</v>
      </c>
      <c r="D33" s="3"/>
      <c r="E33" s="3" t="s">
        <v>293</v>
      </c>
      <c r="F33" s="46" t="s">
        <v>216</v>
      </c>
      <c r="G33" s="80"/>
      <c r="H33" s="30"/>
      <c r="I33" s="30"/>
      <c r="J33" s="39">
        <f t="shared" si="0"/>
        <v>0</v>
      </c>
      <c r="K33" s="30"/>
      <c r="L33" s="32"/>
      <c r="M33" s="32"/>
      <c r="N33" s="3"/>
    </row>
    <row r="34" spans="1:14" x14ac:dyDescent="0.3">
      <c r="A34" s="32">
        <v>27</v>
      </c>
      <c r="B34" s="36" t="s">
        <v>174</v>
      </c>
      <c r="C34" s="3" t="s">
        <v>294</v>
      </c>
      <c r="D34" s="3"/>
      <c r="E34" s="3" t="s">
        <v>295</v>
      </c>
      <c r="F34" s="46" t="s">
        <v>216</v>
      </c>
      <c r="G34" s="80"/>
      <c r="H34" s="30"/>
      <c r="I34" s="30"/>
      <c r="J34" s="39">
        <f t="shared" si="0"/>
        <v>0</v>
      </c>
      <c r="K34" s="30"/>
      <c r="L34" s="32"/>
      <c r="M34" s="32"/>
      <c r="N34" s="3"/>
    </row>
    <row r="35" spans="1:14" ht="48" customHeight="1" x14ac:dyDescent="0.3">
      <c r="A35" s="32">
        <v>28</v>
      </c>
      <c r="B35" s="36" t="s">
        <v>174</v>
      </c>
      <c r="C35" s="3" t="s">
        <v>296</v>
      </c>
      <c r="D35" s="8" t="s">
        <v>297</v>
      </c>
      <c r="E35" s="3" t="s">
        <v>298</v>
      </c>
      <c r="F35" s="46" t="s">
        <v>299</v>
      </c>
      <c r="G35" s="82"/>
      <c r="H35" s="30"/>
      <c r="I35" s="30"/>
      <c r="J35" s="39">
        <f t="shared" si="0"/>
        <v>0</v>
      </c>
      <c r="K35" s="30"/>
      <c r="L35" s="32"/>
      <c r="M35" s="32"/>
      <c r="N35" s="3"/>
    </row>
    <row r="36" spans="1:14" ht="28.8" x14ac:dyDescent="0.3">
      <c r="A36" s="32">
        <v>29</v>
      </c>
      <c r="B36" s="36" t="s">
        <v>174</v>
      </c>
      <c r="C36" s="3" t="s">
        <v>300</v>
      </c>
      <c r="D36" s="3"/>
      <c r="E36" s="3" t="s">
        <v>301</v>
      </c>
      <c r="F36" s="46" t="s">
        <v>302</v>
      </c>
      <c r="G36" s="79" t="s">
        <v>240</v>
      </c>
      <c r="H36" s="30"/>
      <c r="I36" s="30"/>
      <c r="J36" s="39">
        <f t="shared" si="0"/>
        <v>0</v>
      </c>
      <c r="K36" s="30"/>
      <c r="L36" s="32"/>
      <c r="M36" s="32"/>
      <c r="N36" s="3"/>
    </row>
    <row r="37" spans="1:14" ht="28.8" x14ac:dyDescent="0.3">
      <c r="A37" s="32">
        <v>30</v>
      </c>
      <c r="B37" s="36" t="s">
        <v>174</v>
      </c>
      <c r="C37" s="3" t="s">
        <v>303</v>
      </c>
      <c r="D37" s="3"/>
      <c r="E37" s="3" t="s">
        <v>304</v>
      </c>
      <c r="F37" s="46" t="s">
        <v>302</v>
      </c>
      <c r="G37" s="82"/>
      <c r="H37" s="30"/>
      <c r="I37" s="30"/>
      <c r="J37" s="39">
        <f t="shared" si="0"/>
        <v>0</v>
      </c>
      <c r="K37" s="30"/>
      <c r="L37" s="32"/>
      <c r="M37" s="32"/>
      <c r="N37" s="3"/>
    </row>
    <row r="38" spans="1:14" x14ac:dyDescent="0.3">
      <c r="A38" s="32">
        <v>31</v>
      </c>
      <c r="B38" s="36" t="s">
        <v>174</v>
      </c>
      <c r="C38" s="3" t="s">
        <v>351</v>
      </c>
      <c r="D38" s="77" t="s">
        <v>306</v>
      </c>
      <c r="E38" s="3" t="s">
        <v>307</v>
      </c>
      <c r="F38" s="46" t="s">
        <v>216</v>
      </c>
      <c r="G38" s="79" t="s">
        <v>308</v>
      </c>
      <c r="H38" s="30"/>
      <c r="I38" s="30"/>
      <c r="J38" s="39">
        <f t="shared" si="0"/>
        <v>0</v>
      </c>
      <c r="K38" s="30"/>
      <c r="L38" s="32"/>
      <c r="M38" s="32"/>
      <c r="N38" s="3"/>
    </row>
    <row r="39" spans="1:14" x14ac:dyDescent="0.3">
      <c r="A39" s="32">
        <v>32</v>
      </c>
      <c r="B39" s="36" t="s">
        <v>174</v>
      </c>
      <c r="C39" s="3" t="s">
        <v>352</v>
      </c>
      <c r="D39" s="78"/>
      <c r="E39" s="3" t="s">
        <v>310</v>
      </c>
      <c r="F39" s="46" t="s">
        <v>216</v>
      </c>
      <c r="G39" s="80"/>
      <c r="H39" s="30"/>
      <c r="I39" s="30"/>
      <c r="J39" s="39">
        <f t="shared" si="0"/>
        <v>0</v>
      </c>
      <c r="K39" s="30"/>
      <c r="L39" s="32"/>
      <c r="M39" s="32"/>
      <c r="N39" s="3"/>
    </row>
    <row r="40" spans="1:14" x14ac:dyDescent="0.3">
      <c r="A40" s="32">
        <v>33</v>
      </c>
      <c r="B40" s="36" t="s">
        <v>174</v>
      </c>
      <c r="C40" s="46" t="s">
        <v>311</v>
      </c>
      <c r="D40" s="46"/>
      <c r="E40" s="3" t="s">
        <v>312</v>
      </c>
      <c r="F40" s="46" t="s">
        <v>216</v>
      </c>
      <c r="G40" s="80" t="s">
        <v>227</v>
      </c>
      <c r="H40" s="30"/>
      <c r="I40" s="30"/>
      <c r="J40" s="39">
        <f t="shared" si="0"/>
        <v>0</v>
      </c>
      <c r="K40" s="30"/>
      <c r="L40" s="32"/>
      <c r="M40" s="32"/>
      <c r="N40" s="3"/>
    </row>
    <row r="41" spans="1:14" x14ac:dyDescent="0.3">
      <c r="A41" s="32">
        <v>34</v>
      </c>
      <c r="B41" s="36" t="s">
        <v>313</v>
      </c>
      <c r="C41" s="3" t="s">
        <v>314</v>
      </c>
      <c r="D41" s="3"/>
      <c r="E41" s="3" t="s">
        <v>315</v>
      </c>
      <c r="F41" s="46" t="s">
        <v>216</v>
      </c>
      <c r="G41" s="80"/>
      <c r="H41" s="30"/>
      <c r="I41" s="30"/>
      <c r="J41" s="39">
        <f t="shared" si="0"/>
        <v>0</v>
      </c>
      <c r="K41" s="30"/>
      <c r="L41" s="32"/>
      <c r="M41" s="32"/>
      <c r="N41" s="3"/>
    </row>
    <row r="42" spans="1:14" ht="29.1" customHeight="1" x14ac:dyDescent="0.3">
      <c r="A42" s="32">
        <v>35</v>
      </c>
      <c r="B42" s="36" t="s">
        <v>313</v>
      </c>
      <c r="C42" s="3" t="s">
        <v>316</v>
      </c>
      <c r="D42" s="3"/>
      <c r="E42" s="3" t="s">
        <v>317</v>
      </c>
      <c r="F42" s="46" t="s">
        <v>216</v>
      </c>
      <c r="G42" s="80"/>
      <c r="H42" s="30"/>
      <c r="I42" s="30"/>
      <c r="J42" s="39">
        <f t="shared" si="0"/>
        <v>0</v>
      </c>
      <c r="K42" s="30"/>
      <c r="L42" s="32"/>
      <c r="M42" s="32"/>
      <c r="N42" s="3"/>
    </row>
    <row r="43" spans="1:14" ht="61.5" customHeight="1" x14ac:dyDescent="0.3">
      <c r="A43" s="32">
        <v>36</v>
      </c>
      <c r="B43" s="36" t="s">
        <v>313</v>
      </c>
      <c r="C43" s="3" t="s">
        <v>318</v>
      </c>
      <c r="D43" s="3"/>
      <c r="E43" s="3" t="s">
        <v>319</v>
      </c>
      <c r="F43" s="46" t="s">
        <v>216</v>
      </c>
      <c r="G43" s="80"/>
      <c r="H43" s="30"/>
      <c r="I43" s="30"/>
      <c r="J43" s="39">
        <f t="shared" si="0"/>
        <v>0</v>
      </c>
      <c r="K43" s="30"/>
      <c r="L43" s="32"/>
      <c r="M43" s="32"/>
      <c r="N43" s="3"/>
    </row>
    <row r="44" spans="1:14" ht="29.1" customHeight="1" x14ac:dyDescent="0.3">
      <c r="A44" s="32">
        <v>37</v>
      </c>
      <c r="B44" s="37" t="str">
        <f>Dashboard!$A$15</f>
        <v>Day-of Event Execution</v>
      </c>
      <c r="C44" s="3" t="s">
        <v>320</v>
      </c>
      <c r="D44" s="3"/>
      <c r="E44" s="3" t="s">
        <v>321</v>
      </c>
      <c r="F44" s="46" t="s">
        <v>216</v>
      </c>
      <c r="G44" s="80"/>
      <c r="H44" s="30"/>
      <c r="I44" s="30"/>
      <c r="J44" s="39">
        <f t="shared" si="0"/>
        <v>0</v>
      </c>
      <c r="K44" s="30"/>
      <c r="L44" s="32"/>
      <c r="M44" s="32"/>
      <c r="N44" s="3"/>
    </row>
    <row r="45" spans="1:14" ht="29.1" customHeight="1" x14ac:dyDescent="0.3">
      <c r="A45" s="32"/>
      <c r="B45" s="37" t="str">
        <f>Dashboard!$A$15</f>
        <v>Day-of Event Execution</v>
      </c>
      <c r="C45" s="3" t="s">
        <v>322</v>
      </c>
      <c r="D45" s="3"/>
      <c r="E45" s="3"/>
      <c r="F45" s="46"/>
      <c r="G45" s="80"/>
      <c r="H45" s="30"/>
      <c r="I45" s="30"/>
      <c r="J45" s="39"/>
      <c r="K45" s="30"/>
      <c r="L45" s="32"/>
      <c r="M45" s="32"/>
      <c r="N45" s="3"/>
    </row>
    <row r="46" spans="1:14" x14ac:dyDescent="0.3">
      <c r="A46" s="32">
        <v>38</v>
      </c>
      <c r="B46" s="37" t="str">
        <f>Dashboard!$A$15</f>
        <v>Day-of Event Execution</v>
      </c>
      <c r="C46" s="3" t="s">
        <v>323</v>
      </c>
      <c r="D46" s="3"/>
      <c r="E46" s="3" t="s">
        <v>324</v>
      </c>
      <c r="F46" s="46" t="s">
        <v>216</v>
      </c>
      <c r="G46" s="80"/>
      <c r="H46" s="30"/>
      <c r="I46" s="30"/>
      <c r="J46" s="39">
        <f t="shared" si="0"/>
        <v>0</v>
      </c>
      <c r="K46" s="30"/>
      <c r="L46" s="32"/>
      <c r="M46" s="32"/>
      <c r="N46" s="3"/>
    </row>
    <row r="47" spans="1:14" x14ac:dyDescent="0.3">
      <c r="A47" s="32">
        <v>39</v>
      </c>
      <c r="B47" s="38" t="str">
        <f>Dashboard!$A$16</f>
        <v>Post-Event Follow-Up</v>
      </c>
      <c r="C47" s="3" t="s">
        <v>325</v>
      </c>
      <c r="D47" s="3"/>
      <c r="E47" s="3" t="s">
        <v>312</v>
      </c>
      <c r="F47" s="46" t="s">
        <v>216</v>
      </c>
      <c r="G47" s="80"/>
      <c r="H47" s="30"/>
      <c r="I47" s="30"/>
      <c r="J47" s="39">
        <f t="shared" si="0"/>
        <v>0</v>
      </c>
      <c r="K47" s="30"/>
      <c r="L47" s="32"/>
      <c r="M47" s="32"/>
      <c r="N47" s="3"/>
    </row>
    <row r="48" spans="1:14" ht="28.8" x14ac:dyDescent="0.3">
      <c r="A48" s="32">
        <v>40</v>
      </c>
      <c r="B48" s="38" t="str">
        <f>Dashboard!$A$16</f>
        <v>Post-Event Follow-Up</v>
      </c>
      <c r="C48" s="3" t="s">
        <v>326</v>
      </c>
      <c r="D48" s="3"/>
      <c r="E48" s="8" t="s">
        <v>327</v>
      </c>
      <c r="F48" s="46" t="s">
        <v>328</v>
      </c>
      <c r="G48" s="82"/>
      <c r="H48" s="30"/>
      <c r="I48" s="30"/>
      <c r="J48" s="39">
        <f t="shared" si="0"/>
        <v>0</v>
      </c>
      <c r="K48" s="30"/>
      <c r="L48" s="32"/>
      <c r="M48" s="32"/>
      <c r="N48" s="3"/>
    </row>
    <row r="49" spans="1:14" ht="29.1" customHeight="1" x14ac:dyDescent="0.3">
      <c r="A49" s="32">
        <v>41</v>
      </c>
      <c r="B49" s="38" t="str">
        <f>Dashboard!$A$16</f>
        <v>Post-Event Follow-Up</v>
      </c>
      <c r="C49" s="3" t="s">
        <v>329</v>
      </c>
      <c r="D49" s="3"/>
      <c r="E49" s="3" t="s">
        <v>209</v>
      </c>
      <c r="F49" s="46" t="s">
        <v>216</v>
      </c>
      <c r="G49" s="79" t="s">
        <v>330</v>
      </c>
      <c r="H49" s="30"/>
      <c r="I49" s="30"/>
      <c r="J49" s="39">
        <f>_xlfn.DAYS(I49,H49)</f>
        <v>0</v>
      </c>
      <c r="K49" s="30"/>
      <c r="L49" s="32"/>
      <c r="M49" s="32"/>
      <c r="N49" s="3"/>
    </row>
    <row r="50" spans="1:14" x14ac:dyDescent="0.3">
      <c r="A50" s="32">
        <v>42</v>
      </c>
      <c r="B50" s="38" t="str">
        <f>Dashboard!$A$16</f>
        <v>Post-Event Follow-Up</v>
      </c>
      <c r="C50" s="3" t="s">
        <v>210</v>
      </c>
      <c r="D50" s="3"/>
      <c r="E50" s="3" t="s">
        <v>211</v>
      </c>
      <c r="F50" s="46" t="s">
        <v>216</v>
      </c>
      <c r="G50" s="82"/>
      <c r="H50" s="30"/>
      <c r="I50" s="30"/>
      <c r="J50" s="39">
        <f t="shared" si="0"/>
        <v>0</v>
      </c>
      <c r="K50" s="30"/>
      <c r="L50" s="32"/>
      <c r="M50" s="32"/>
      <c r="N50" s="3"/>
    </row>
  </sheetData>
  <mergeCells count="15">
    <mergeCell ref="G40:G48"/>
    <mergeCell ref="G49:G50"/>
    <mergeCell ref="G21:G22"/>
    <mergeCell ref="G23:G28"/>
    <mergeCell ref="G30:G31"/>
    <mergeCell ref="G32:G35"/>
    <mergeCell ref="G36:G37"/>
    <mergeCell ref="D38:D39"/>
    <mergeCell ref="G38:G39"/>
    <mergeCell ref="A1:E1"/>
    <mergeCell ref="G6:G7"/>
    <mergeCell ref="G8:G11"/>
    <mergeCell ref="G13:G14"/>
    <mergeCell ref="G15:G16"/>
    <mergeCell ref="G17:G18"/>
  </mergeCells>
  <conditionalFormatting sqref="M6:M60">
    <cfRule type="containsText" dxfId="3" priority="1" operator="containsText" text="In Progress">
      <formula>NOT(ISERROR(SEARCH("In Progress",M6)))</formula>
    </cfRule>
    <cfRule type="containsText" dxfId="2" priority="2" operator="containsText" text="Complete">
      <formula>NOT(ISERROR(SEARCH("Complete",M6)))</formula>
    </cfRule>
  </conditionalFormatting>
  <dataValidations count="1">
    <dataValidation type="list" allowBlank="1" showInputMessage="1" showErrorMessage="1" sqref="M6:M50" xr:uid="{E0468258-2B03-44EC-B654-6F857347E457}">
      <formula1>"Complete, In progress, --"</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A10D314-04BB-472C-B737-49E9AFE7CD3A}">
          <x14:formula1>
            <xm:f>Dashboard!$A$20:$A$30</xm:f>
          </x14:formula1>
          <xm:sqref>L6:L50</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15C0-9A18-48CA-BE9D-CFA880372DF0}">
  <dimension ref="A1:N48"/>
  <sheetViews>
    <sheetView topLeftCell="A34" zoomScale="85" zoomScaleNormal="100" workbookViewId="0">
      <selection activeCell="C48" sqref="C48"/>
    </sheetView>
  </sheetViews>
  <sheetFormatPr defaultRowHeight="14.4" x14ac:dyDescent="0.3"/>
  <cols>
    <col min="1" max="1" width="6.33203125" customWidth="1"/>
    <col min="2" max="2" width="26" style="2" customWidth="1"/>
    <col min="3" max="4" width="42" style="1" customWidth="1"/>
    <col min="5" max="5" width="65" style="1" customWidth="1"/>
    <col min="6" max="6" width="31.88671875" style="1" customWidth="1"/>
    <col min="7" max="7" width="24" style="43" customWidth="1"/>
    <col min="8" max="9" width="16" style="40" customWidth="1"/>
    <col min="10" max="10" width="16" style="41" customWidth="1"/>
    <col min="11" max="11" width="16" customWidth="1"/>
    <col min="12" max="12" width="18" customWidth="1"/>
    <col min="13" max="13" width="23.44140625" customWidth="1"/>
    <col min="14" max="14" width="26" customWidth="1"/>
  </cols>
  <sheetData>
    <row r="1" spans="1:14" x14ac:dyDescent="0.3">
      <c r="A1" s="81" t="s">
        <v>51</v>
      </c>
      <c r="B1" s="81"/>
      <c r="C1" s="81"/>
      <c r="D1" s="81"/>
      <c r="E1" s="81"/>
      <c r="F1" s="16"/>
      <c r="G1" s="16"/>
      <c r="H1" s="16"/>
      <c r="I1" s="16"/>
      <c r="J1" s="16"/>
      <c r="K1" s="16"/>
      <c r="L1" s="4"/>
      <c r="M1" s="4"/>
      <c r="N1" s="4"/>
    </row>
    <row r="2" spans="1:14" ht="32.1" customHeight="1" x14ac:dyDescent="0.3">
      <c r="A2" s="31" t="s">
        <v>52</v>
      </c>
      <c r="B2" s="31" t="s">
        <v>8</v>
      </c>
      <c r="C2" s="31" t="s">
        <v>53</v>
      </c>
      <c r="D2" s="31"/>
      <c r="E2" s="31" t="s">
        <v>54</v>
      </c>
      <c r="F2" s="31" t="s">
        <v>55</v>
      </c>
      <c r="G2" s="31" t="s">
        <v>56</v>
      </c>
      <c r="H2" s="31" t="s">
        <v>57</v>
      </c>
      <c r="I2" s="31" t="s">
        <v>58</v>
      </c>
      <c r="J2" s="31" t="s">
        <v>59</v>
      </c>
      <c r="K2" s="31" t="s">
        <v>60</v>
      </c>
      <c r="L2" s="31" t="s">
        <v>16</v>
      </c>
      <c r="M2" s="31" t="s">
        <v>61</v>
      </c>
      <c r="N2" s="31" t="s">
        <v>62</v>
      </c>
    </row>
    <row r="3" spans="1:14" ht="32.1" customHeight="1" x14ac:dyDescent="0.3">
      <c r="A3" s="31"/>
      <c r="B3" s="49"/>
      <c r="C3" s="31" t="s">
        <v>212</v>
      </c>
      <c r="D3" s="31"/>
      <c r="E3" s="31"/>
      <c r="F3" s="31"/>
      <c r="G3" s="49"/>
      <c r="H3" s="31"/>
      <c r="I3" s="31"/>
      <c r="J3" s="31"/>
      <c r="K3" s="31"/>
      <c r="L3" s="31"/>
      <c r="M3" s="31"/>
      <c r="N3" s="31"/>
    </row>
    <row r="4" spans="1:14" ht="54.9" customHeight="1" x14ac:dyDescent="0.3">
      <c r="A4" s="32">
        <v>1</v>
      </c>
      <c r="B4" s="33" t="s">
        <v>244</v>
      </c>
      <c r="C4" s="3" t="s">
        <v>213</v>
      </c>
      <c r="D4" s="3" t="s">
        <v>214</v>
      </c>
      <c r="E4" s="3" t="s">
        <v>215</v>
      </c>
      <c r="F4" s="46" t="s">
        <v>216</v>
      </c>
      <c r="G4" s="79" t="s">
        <v>217</v>
      </c>
      <c r="H4" s="30">
        <v>46223</v>
      </c>
      <c r="I4" s="30">
        <v>46225</v>
      </c>
      <c r="J4" s="39">
        <f t="shared" ref="J4:J48" si="0">_xlfn.DAYS(I4,H4)</f>
        <v>2</v>
      </c>
      <c r="K4" s="30"/>
      <c r="L4" s="32" t="s">
        <v>38</v>
      </c>
      <c r="M4" s="32" t="s">
        <v>218</v>
      </c>
      <c r="N4" s="3"/>
    </row>
    <row r="5" spans="1:14" ht="69" customHeight="1" x14ac:dyDescent="0.3">
      <c r="A5" s="32">
        <v>2</v>
      </c>
      <c r="B5" s="33" t="s">
        <v>244</v>
      </c>
      <c r="C5" s="3" t="s">
        <v>219</v>
      </c>
      <c r="D5" s="3" t="s">
        <v>220</v>
      </c>
      <c r="E5" s="3" t="s">
        <v>221</v>
      </c>
      <c r="F5" s="46" t="s">
        <v>222</v>
      </c>
      <c r="G5" s="82"/>
      <c r="H5" s="30">
        <v>46225</v>
      </c>
      <c r="I5" s="30">
        <v>46228</v>
      </c>
      <c r="J5" s="39">
        <f t="shared" si="0"/>
        <v>3</v>
      </c>
      <c r="K5" s="30"/>
      <c r="L5" s="32" t="s">
        <v>40</v>
      </c>
      <c r="M5" s="32" t="s">
        <v>223</v>
      </c>
      <c r="N5" s="3"/>
    </row>
    <row r="6" spans="1:14" ht="29.1" customHeight="1" x14ac:dyDescent="0.3">
      <c r="A6" s="32">
        <v>3</v>
      </c>
      <c r="B6" s="33" t="str">
        <f>Dashboard!$A$11</f>
        <v>Pre-Event Planning</v>
      </c>
      <c r="C6" s="3" t="s">
        <v>224</v>
      </c>
      <c r="D6" s="3" t="s">
        <v>225</v>
      </c>
      <c r="E6" s="3" t="s">
        <v>226</v>
      </c>
      <c r="F6" s="46" t="s">
        <v>216</v>
      </c>
      <c r="G6" s="79" t="s">
        <v>227</v>
      </c>
      <c r="H6" s="30"/>
      <c r="I6" s="30"/>
      <c r="J6" s="39">
        <f>_xlfn.DAYS(I6,H6)</f>
        <v>0</v>
      </c>
      <c r="K6" s="30"/>
      <c r="L6" s="32" t="s">
        <v>39</v>
      </c>
      <c r="M6" s="32" t="s">
        <v>218</v>
      </c>
      <c r="N6" s="3"/>
    </row>
    <row r="7" spans="1:14" ht="30.9" customHeight="1" x14ac:dyDescent="0.3">
      <c r="A7" s="32">
        <v>4</v>
      </c>
      <c r="B7" s="33" t="str">
        <f>Dashboard!$A$11</f>
        <v>Pre-Event Planning</v>
      </c>
      <c r="C7" s="3" t="s">
        <v>228</v>
      </c>
      <c r="D7" s="3"/>
      <c r="E7" s="3" t="s">
        <v>229</v>
      </c>
      <c r="F7" s="46" t="s">
        <v>216</v>
      </c>
      <c r="G7" s="80"/>
      <c r="H7" s="30"/>
      <c r="I7" s="30"/>
      <c r="J7" s="39">
        <f t="shared" si="0"/>
        <v>0</v>
      </c>
      <c r="K7" s="30"/>
      <c r="L7" s="32" t="s">
        <v>38</v>
      </c>
      <c r="M7" s="32"/>
      <c r="N7" s="3"/>
    </row>
    <row r="8" spans="1:14" ht="28.8" x14ac:dyDescent="0.3">
      <c r="A8" s="32">
        <v>5</v>
      </c>
      <c r="B8" s="33" t="str">
        <f>Dashboard!$A$11</f>
        <v>Pre-Event Planning</v>
      </c>
      <c r="C8" s="3" t="s">
        <v>230</v>
      </c>
      <c r="D8" s="3"/>
      <c r="E8" s="3" t="s">
        <v>231</v>
      </c>
      <c r="F8" s="46" t="s">
        <v>216</v>
      </c>
      <c r="G8" s="80"/>
      <c r="H8" s="30"/>
      <c r="I8" s="30"/>
      <c r="J8" s="39">
        <f t="shared" si="0"/>
        <v>0</v>
      </c>
      <c r="K8" s="30"/>
      <c r="L8" s="32" t="s">
        <v>38</v>
      </c>
      <c r="M8" s="32"/>
      <c r="N8" s="3"/>
    </row>
    <row r="9" spans="1:14" ht="28.8" x14ac:dyDescent="0.3">
      <c r="A9" s="32">
        <v>6</v>
      </c>
      <c r="B9" s="33" t="str">
        <f>Dashboard!$A$11</f>
        <v>Pre-Event Planning</v>
      </c>
      <c r="C9" s="3" t="s">
        <v>232</v>
      </c>
      <c r="D9" s="3"/>
      <c r="E9" s="3" t="s">
        <v>233</v>
      </c>
      <c r="F9" s="46" t="s">
        <v>216</v>
      </c>
      <c r="G9" s="82"/>
      <c r="H9" s="30"/>
      <c r="I9" s="30"/>
      <c r="J9" s="39">
        <f t="shared" si="0"/>
        <v>0</v>
      </c>
      <c r="K9" s="30"/>
      <c r="L9" s="32"/>
      <c r="M9" s="32"/>
      <c r="N9" s="3"/>
    </row>
    <row r="10" spans="1:14" ht="43.2" x14ac:dyDescent="0.3">
      <c r="A10" s="32">
        <v>7</v>
      </c>
      <c r="B10" s="33" t="str">
        <f>Dashboard!$A$11</f>
        <v>Pre-Event Planning</v>
      </c>
      <c r="C10" s="3" t="s">
        <v>234</v>
      </c>
      <c r="D10" s="50" t="s">
        <v>235</v>
      </c>
      <c r="E10" s="5" t="s">
        <v>236</v>
      </c>
      <c r="F10" s="46" t="s">
        <v>237</v>
      </c>
      <c r="G10" s="28" t="s">
        <v>217</v>
      </c>
      <c r="H10" s="30"/>
      <c r="I10" s="30"/>
      <c r="J10" s="39">
        <f t="shared" si="0"/>
        <v>0</v>
      </c>
      <c r="K10" s="30"/>
      <c r="L10" s="32"/>
      <c r="M10" s="32"/>
      <c r="N10" s="3"/>
    </row>
    <row r="11" spans="1:14" ht="28.8" x14ac:dyDescent="0.3">
      <c r="A11" s="32">
        <v>8</v>
      </c>
      <c r="B11" s="34" t="str">
        <f>Dashboard!$A$12</f>
        <v>Outreach &amp; Registration</v>
      </c>
      <c r="C11" s="3" t="s">
        <v>238</v>
      </c>
      <c r="D11" s="5"/>
      <c r="E11" s="5" t="s">
        <v>239</v>
      </c>
      <c r="F11" s="46" t="s">
        <v>216</v>
      </c>
      <c r="G11" s="79" t="s">
        <v>240</v>
      </c>
      <c r="H11" s="30"/>
      <c r="I11" s="30"/>
      <c r="J11" s="39">
        <f t="shared" si="0"/>
        <v>0</v>
      </c>
      <c r="K11" s="30"/>
      <c r="L11" s="32"/>
      <c r="M11" s="32"/>
      <c r="N11" s="3"/>
    </row>
    <row r="12" spans="1:14" ht="43.2" x14ac:dyDescent="0.3">
      <c r="A12" s="32">
        <v>9</v>
      </c>
      <c r="B12" s="34" t="str">
        <f>Dashboard!$A$12</f>
        <v>Outreach &amp; Registration</v>
      </c>
      <c r="C12" s="3" t="s">
        <v>241</v>
      </c>
      <c r="D12" s="5"/>
      <c r="E12" s="5" t="s">
        <v>242</v>
      </c>
      <c r="F12" s="47" t="s">
        <v>243</v>
      </c>
      <c r="G12" s="80"/>
      <c r="H12" s="30"/>
      <c r="I12" s="30"/>
      <c r="J12" s="39">
        <f t="shared" si="0"/>
        <v>0</v>
      </c>
      <c r="K12" s="30"/>
      <c r="L12" s="32"/>
      <c r="M12" s="32"/>
      <c r="N12" s="3"/>
    </row>
    <row r="13" spans="1:14" x14ac:dyDescent="0.3">
      <c r="A13" s="32">
        <v>10</v>
      </c>
      <c r="B13" s="33" t="s">
        <v>244</v>
      </c>
      <c r="C13" s="3" t="s">
        <v>245</v>
      </c>
      <c r="D13" s="3"/>
      <c r="E13" s="3" t="s">
        <v>246</v>
      </c>
      <c r="F13" s="46" t="s">
        <v>216</v>
      </c>
      <c r="G13" s="80" t="s">
        <v>247</v>
      </c>
      <c r="H13" s="30"/>
      <c r="I13" s="30"/>
      <c r="J13" s="39">
        <f t="shared" si="0"/>
        <v>0</v>
      </c>
      <c r="K13" s="30"/>
      <c r="L13" s="32"/>
      <c r="M13" s="32"/>
      <c r="N13" s="3"/>
    </row>
    <row r="14" spans="1:14" x14ac:dyDescent="0.3">
      <c r="A14" s="32">
        <v>11</v>
      </c>
      <c r="B14" s="33" t="s">
        <v>244</v>
      </c>
      <c r="C14" s="3" t="s">
        <v>248</v>
      </c>
      <c r="D14" s="3"/>
      <c r="E14" s="3" t="s">
        <v>249</v>
      </c>
      <c r="F14" s="46" t="s">
        <v>216</v>
      </c>
      <c r="G14" s="82"/>
      <c r="H14" s="30"/>
      <c r="I14" s="30"/>
      <c r="J14" s="39">
        <f t="shared" si="0"/>
        <v>0</v>
      </c>
      <c r="K14" s="30"/>
      <c r="L14" s="32"/>
      <c r="M14" s="32"/>
      <c r="N14" s="3"/>
    </row>
    <row r="15" spans="1:14" ht="28.8" x14ac:dyDescent="0.3">
      <c r="A15" s="32">
        <v>12</v>
      </c>
      <c r="B15" s="33" t="s">
        <v>244</v>
      </c>
      <c r="C15" s="3" t="s">
        <v>250</v>
      </c>
      <c r="D15" s="3"/>
      <c r="E15" s="3" t="s">
        <v>251</v>
      </c>
      <c r="F15" s="46" t="s">
        <v>216</v>
      </c>
      <c r="G15" s="79" t="s">
        <v>217</v>
      </c>
      <c r="H15" s="30"/>
      <c r="I15" s="30"/>
      <c r="J15" s="39">
        <f t="shared" si="0"/>
        <v>0</v>
      </c>
      <c r="K15" s="30"/>
      <c r="L15" s="32"/>
      <c r="M15" s="32"/>
      <c r="N15" s="3"/>
    </row>
    <row r="16" spans="1:14" ht="28.8" x14ac:dyDescent="0.3">
      <c r="A16" s="32">
        <v>13</v>
      </c>
      <c r="B16" s="33" t="s">
        <v>244</v>
      </c>
      <c r="C16" s="3" t="s">
        <v>252</v>
      </c>
      <c r="D16" s="3"/>
      <c r="E16" s="3" t="s">
        <v>253</v>
      </c>
      <c r="F16" s="46" t="s">
        <v>254</v>
      </c>
      <c r="G16" s="82"/>
      <c r="H16" s="30"/>
      <c r="I16" s="30"/>
      <c r="J16" s="39">
        <f t="shared" si="0"/>
        <v>0</v>
      </c>
      <c r="K16" s="30"/>
      <c r="L16" s="32"/>
      <c r="M16" s="32"/>
      <c r="N16" s="3"/>
    </row>
    <row r="17" spans="1:14" ht="53.1" customHeight="1" x14ac:dyDescent="0.3">
      <c r="A17" s="32">
        <v>14</v>
      </c>
      <c r="B17" s="34" t="str">
        <f>Dashboard!$A$12</f>
        <v>Outreach &amp; Registration</v>
      </c>
      <c r="C17" s="3" t="s">
        <v>255</v>
      </c>
      <c r="D17" s="8" t="s">
        <v>256</v>
      </c>
      <c r="E17" s="3" t="s">
        <v>257</v>
      </c>
      <c r="F17" s="46" t="s">
        <v>258</v>
      </c>
      <c r="G17" s="28" t="s">
        <v>240</v>
      </c>
      <c r="H17" s="30"/>
      <c r="I17" s="30"/>
      <c r="J17" s="39">
        <f t="shared" si="0"/>
        <v>0</v>
      </c>
      <c r="K17" s="30"/>
      <c r="L17" s="32"/>
      <c r="M17" s="32"/>
      <c r="N17" s="3"/>
    </row>
    <row r="18" spans="1:14" ht="30.6" customHeight="1" x14ac:dyDescent="0.3">
      <c r="A18" s="32">
        <v>15</v>
      </c>
      <c r="B18" s="33" t="s">
        <v>244</v>
      </c>
      <c r="C18" s="3" t="s">
        <v>259</v>
      </c>
      <c r="D18" s="3"/>
      <c r="E18" s="3" t="s">
        <v>260</v>
      </c>
      <c r="F18" s="46" t="s">
        <v>261</v>
      </c>
      <c r="G18" s="28" t="s">
        <v>240</v>
      </c>
      <c r="H18" s="30"/>
      <c r="I18" s="30"/>
      <c r="J18" s="39">
        <f t="shared" si="0"/>
        <v>0</v>
      </c>
      <c r="K18" s="30"/>
      <c r="L18" s="32"/>
      <c r="M18" s="32"/>
      <c r="N18" s="3"/>
    </row>
    <row r="19" spans="1:14" ht="29.1" customHeight="1" x14ac:dyDescent="0.3">
      <c r="A19" s="32">
        <v>16</v>
      </c>
      <c r="B19" s="33" t="s">
        <v>244</v>
      </c>
      <c r="C19" s="3" t="s">
        <v>262</v>
      </c>
      <c r="D19" s="3"/>
      <c r="E19" s="3" t="s">
        <v>263</v>
      </c>
      <c r="F19" s="46" t="s">
        <v>264</v>
      </c>
      <c r="G19" s="79" t="s">
        <v>265</v>
      </c>
      <c r="H19" s="30"/>
      <c r="I19" s="30"/>
      <c r="J19" s="39">
        <f t="shared" si="0"/>
        <v>0</v>
      </c>
      <c r="K19" s="30"/>
      <c r="L19" s="32"/>
      <c r="M19" s="32"/>
      <c r="N19" s="3"/>
    </row>
    <row r="20" spans="1:14" ht="28.8" x14ac:dyDescent="0.3">
      <c r="A20" s="32">
        <v>17</v>
      </c>
      <c r="B20" s="33" t="s">
        <v>244</v>
      </c>
      <c r="C20" s="3"/>
      <c r="D20" s="3"/>
      <c r="E20" s="3" t="s">
        <v>266</v>
      </c>
      <c r="F20" s="46" t="s">
        <v>267</v>
      </c>
      <c r="G20" s="82"/>
      <c r="H20" s="30"/>
      <c r="I20" s="30"/>
      <c r="J20" s="39">
        <f t="shared" si="0"/>
        <v>0</v>
      </c>
      <c r="K20" s="30"/>
      <c r="L20" s="32"/>
      <c r="M20" s="32"/>
      <c r="N20" s="3"/>
    </row>
    <row r="21" spans="1:14" x14ac:dyDescent="0.3">
      <c r="A21" s="32">
        <v>18</v>
      </c>
      <c r="B21" s="35" t="str">
        <f>Dashboard!$A$13</f>
        <v>Pre-Event Logistics</v>
      </c>
      <c r="C21" s="3" t="s">
        <v>268</v>
      </c>
      <c r="D21" s="3"/>
      <c r="E21" s="3" t="s">
        <v>269</v>
      </c>
      <c r="F21" s="46" t="s">
        <v>216</v>
      </c>
      <c r="G21" s="79" t="s">
        <v>270</v>
      </c>
      <c r="H21" s="30"/>
      <c r="I21" s="30"/>
      <c r="J21" s="39">
        <f t="shared" si="0"/>
        <v>0</v>
      </c>
      <c r="K21" s="30"/>
      <c r="L21" s="32"/>
      <c r="M21" s="32"/>
      <c r="N21" s="3"/>
    </row>
    <row r="22" spans="1:14" x14ac:dyDescent="0.3">
      <c r="A22" s="32"/>
      <c r="B22" s="35" t="str">
        <f>Dashboard!$A$13</f>
        <v>Pre-Event Logistics</v>
      </c>
      <c r="C22" s="3" t="s">
        <v>271</v>
      </c>
      <c r="D22" s="3"/>
      <c r="E22" s="3" t="s">
        <v>272</v>
      </c>
      <c r="F22" s="46" t="s">
        <v>216</v>
      </c>
      <c r="G22" s="80"/>
      <c r="H22" s="30"/>
      <c r="I22" s="30"/>
      <c r="J22" s="39"/>
      <c r="K22" s="30"/>
      <c r="L22" s="32"/>
      <c r="M22" s="32"/>
      <c r="N22" s="3"/>
    </row>
    <row r="23" spans="1:14" ht="28.8" x14ac:dyDescent="0.3">
      <c r="A23" s="32">
        <v>19</v>
      </c>
      <c r="B23" s="35" t="str">
        <f>Dashboard!$A$13</f>
        <v>Pre-Event Logistics</v>
      </c>
      <c r="C23" s="3" t="s">
        <v>273</v>
      </c>
      <c r="D23" s="3"/>
      <c r="E23" s="3" t="s">
        <v>274</v>
      </c>
      <c r="F23" s="46" t="s">
        <v>275</v>
      </c>
      <c r="G23" s="80"/>
      <c r="H23" s="30"/>
      <c r="I23" s="30"/>
      <c r="J23" s="39">
        <f t="shared" si="0"/>
        <v>0</v>
      </c>
      <c r="K23" s="30"/>
      <c r="L23" s="32"/>
      <c r="M23" s="32"/>
      <c r="N23" s="3"/>
    </row>
    <row r="24" spans="1:14" ht="28.8" x14ac:dyDescent="0.3">
      <c r="A24" s="32">
        <v>20</v>
      </c>
      <c r="B24" s="35" t="str">
        <f>Dashboard!$A$13</f>
        <v>Pre-Event Logistics</v>
      </c>
      <c r="C24" s="3" t="s">
        <v>276</v>
      </c>
      <c r="D24" s="3"/>
      <c r="E24" s="3" t="s">
        <v>277</v>
      </c>
      <c r="F24" s="46" t="s">
        <v>216</v>
      </c>
      <c r="G24" s="80"/>
      <c r="H24" s="30"/>
      <c r="I24" s="30"/>
      <c r="J24" s="39">
        <f t="shared" si="0"/>
        <v>0</v>
      </c>
      <c r="K24" s="30"/>
      <c r="L24" s="32"/>
      <c r="M24" s="32"/>
      <c r="N24" s="3"/>
    </row>
    <row r="25" spans="1:14" x14ac:dyDescent="0.3">
      <c r="A25" s="32">
        <v>21</v>
      </c>
      <c r="B25" s="35" t="str">
        <f>Dashboard!$A$13</f>
        <v>Pre-Event Logistics</v>
      </c>
      <c r="C25" s="3" t="s">
        <v>278</v>
      </c>
      <c r="D25" s="3" t="s">
        <v>279</v>
      </c>
      <c r="E25" s="3" t="s">
        <v>280</v>
      </c>
      <c r="F25" s="46" t="s">
        <v>216</v>
      </c>
      <c r="G25" s="80"/>
      <c r="H25" s="30"/>
      <c r="I25" s="30"/>
      <c r="J25" s="39">
        <f t="shared" si="0"/>
        <v>0</v>
      </c>
      <c r="K25" s="30"/>
      <c r="L25" s="32"/>
      <c r="M25" s="32"/>
      <c r="N25" s="3"/>
    </row>
    <row r="26" spans="1:14" ht="28.8" x14ac:dyDescent="0.3">
      <c r="A26" s="32">
        <v>22</v>
      </c>
      <c r="B26" s="33" t="s">
        <v>244</v>
      </c>
      <c r="C26" s="3" t="s">
        <v>281</v>
      </c>
      <c r="D26" s="3"/>
      <c r="E26" s="3" t="s">
        <v>282</v>
      </c>
      <c r="F26" s="46" t="s">
        <v>216</v>
      </c>
      <c r="G26" s="82"/>
      <c r="H26" s="30"/>
      <c r="I26" s="30"/>
      <c r="J26" s="39">
        <f t="shared" si="0"/>
        <v>0</v>
      </c>
      <c r="K26" s="30"/>
      <c r="L26" s="32"/>
      <c r="M26" s="32"/>
      <c r="N26" s="3"/>
    </row>
    <row r="27" spans="1:14" ht="28.8" x14ac:dyDescent="0.3">
      <c r="A27" s="32"/>
      <c r="B27" s="51"/>
      <c r="C27" s="3" t="s">
        <v>283</v>
      </c>
      <c r="D27" s="3"/>
      <c r="E27" s="3"/>
      <c r="F27" s="46"/>
      <c r="G27" s="44"/>
      <c r="H27" s="30"/>
      <c r="I27" s="30"/>
      <c r="J27" s="39"/>
      <c r="K27" s="30"/>
      <c r="L27" s="32"/>
      <c r="M27" s="32"/>
      <c r="N27" s="3"/>
    </row>
    <row r="28" spans="1:14" ht="28.8" x14ac:dyDescent="0.3">
      <c r="A28" s="32">
        <v>23</v>
      </c>
      <c r="B28" s="36" t="str">
        <f>Dashboard!$A$14</f>
        <v>1 Week Prior Event Planning</v>
      </c>
      <c r="C28" s="3" t="s">
        <v>284</v>
      </c>
      <c r="D28" s="3"/>
      <c r="E28" s="3" t="s">
        <v>285</v>
      </c>
      <c r="F28" s="46" t="s">
        <v>286</v>
      </c>
      <c r="G28" s="79" t="s">
        <v>247</v>
      </c>
      <c r="H28" s="30"/>
      <c r="I28" s="30"/>
      <c r="J28" s="39">
        <f t="shared" si="0"/>
        <v>0</v>
      </c>
      <c r="K28" s="30"/>
      <c r="L28" s="32"/>
      <c r="M28" s="32"/>
      <c r="N28" s="3"/>
    </row>
    <row r="29" spans="1:14" ht="28.8" x14ac:dyDescent="0.3">
      <c r="A29" s="32">
        <v>24</v>
      </c>
      <c r="B29" s="36" t="str">
        <f>Dashboard!$A$14</f>
        <v>1 Week Prior Event Planning</v>
      </c>
      <c r="C29" s="3" t="s">
        <v>287</v>
      </c>
      <c r="D29" s="3"/>
      <c r="E29" s="3" t="s">
        <v>288</v>
      </c>
      <c r="F29" s="46" t="s">
        <v>286</v>
      </c>
      <c r="G29" s="82"/>
      <c r="H29" s="30"/>
      <c r="I29" s="30"/>
      <c r="J29" s="39">
        <f t="shared" si="0"/>
        <v>0</v>
      </c>
      <c r="K29" s="30"/>
      <c r="L29" s="32"/>
      <c r="M29" s="32"/>
      <c r="N29" s="3"/>
    </row>
    <row r="30" spans="1:14" x14ac:dyDescent="0.3">
      <c r="A30" s="32">
        <v>25</v>
      </c>
      <c r="B30" s="36" t="str">
        <f>Dashboard!$A$14</f>
        <v>1 Week Prior Event Planning</v>
      </c>
      <c r="C30" s="3" t="s">
        <v>289</v>
      </c>
      <c r="D30" s="3" t="s">
        <v>290</v>
      </c>
      <c r="E30" s="3" t="s">
        <v>291</v>
      </c>
      <c r="F30" s="46" t="s">
        <v>216</v>
      </c>
      <c r="G30" s="79" t="s">
        <v>217</v>
      </c>
      <c r="H30" s="30"/>
      <c r="I30" s="30"/>
      <c r="J30" s="39">
        <f t="shared" si="0"/>
        <v>0</v>
      </c>
      <c r="K30" s="30"/>
      <c r="L30" s="32"/>
      <c r="M30" s="32"/>
      <c r="N30" s="3"/>
    </row>
    <row r="31" spans="1:14" x14ac:dyDescent="0.3">
      <c r="A31" s="32">
        <v>26</v>
      </c>
      <c r="B31" s="36" t="s">
        <v>174</v>
      </c>
      <c r="C31" s="3" t="s">
        <v>292</v>
      </c>
      <c r="D31" s="3"/>
      <c r="E31" s="3" t="s">
        <v>293</v>
      </c>
      <c r="F31" s="46" t="s">
        <v>216</v>
      </c>
      <c r="G31" s="80"/>
      <c r="H31" s="30"/>
      <c r="I31" s="30"/>
      <c r="J31" s="39">
        <f t="shared" si="0"/>
        <v>0</v>
      </c>
      <c r="K31" s="30"/>
      <c r="L31" s="32"/>
      <c r="M31" s="32"/>
      <c r="N31" s="3"/>
    </row>
    <row r="32" spans="1:14" x14ac:dyDescent="0.3">
      <c r="A32" s="32">
        <v>27</v>
      </c>
      <c r="B32" s="36" t="s">
        <v>174</v>
      </c>
      <c r="C32" s="3" t="s">
        <v>294</v>
      </c>
      <c r="D32" s="3"/>
      <c r="E32" s="3" t="s">
        <v>295</v>
      </c>
      <c r="F32" s="46" t="s">
        <v>216</v>
      </c>
      <c r="G32" s="80"/>
      <c r="H32" s="30"/>
      <c r="I32" s="30"/>
      <c r="J32" s="39">
        <f t="shared" si="0"/>
        <v>0</v>
      </c>
      <c r="K32" s="30"/>
      <c r="L32" s="32"/>
      <c r="M32" s="32"/>
      <c r="N32" s="3"/>
    </row>
    <row r="33" spans="1:14" ht="48" customHeight="1" x14ac:dyDescent="0.3">
      <c r="A33" s="32">
        <v>28</v>
      </c>
      <c r="B33" s="36" t="s">
        <v>174</v>
      </c>
      <c r="C33" s="3" t="s">
        <v>296</v>
      </c>
      <c r="D33" s="8" t="s">
        <v>297</v>
      </c>
      <c r="E33" s="3" t="s">
        <v>298</v>
      </c>
      <c r="F33" s="46" t="s">
        <v>299</v>
      </c>
      <c r="G33" s="82"/>
      <c r="H33" s="30"/>
      <c r="I33" s="30"/>
      <c r="J33" s="39">
        <f t="shared" si="0"/>
        <v>0</v>
      </c>
      <c r="K33" s="30"/>
      <c r="L33" s="32"/>
      <c r="M33" s="32"/>
      <c r="N33" s="3"/>
    </row>
    <row r="34" spans="1:14" ht="28.8" x14ac:dyDescent="0.3">
      <c r="A34" s="32">
        <v>29</v>
      </c>
      <c r="B34" s="36" t="s">
        <v>174</v>
      </c>
      <c r="C34" s="3" t="s">
        <v>300</v>
      </c>
      <c r="D34" s="3"/>
      <c r="E34" s="3" t="s">
        <v>301</v>
      </c>
      <c r="F34" s="46" t="s">
        <v>302</v>
      </c>
      <c r="G34" s="79" t="s">
        <v>240</v>
      </c>
      <c r="H34" s="30"/>
      <c r="I34" s="30"/>
      <c r="J34" s="39">
        <f t="shared" si="0"/>
        <v>0</v>
      </c>
      <c r="K34" s="30"/>
      <c r="L34" s="32"/>
      <c r="M34" s="32"/>
      <c r="N34" s="3"/>
    </row>
    <row r="35" spans="1:14" ht="28.8" x14ac:dyDescent="0.3">
      <c r="A35" s="32">
        <v>30</v>
      </c>
      <c r="B35" s="36" t="s">
        <v>174</v>
      </c>
      <c r="C35" s="3" t="s">
        <v>303</v>
      </c>
      <c r="D35" s="3"/>
      <c r="E35" s="3" t="s">
        <v>304</v>
      </c>
      <c r="F35" s="46" t="s">
        <v>302</v>
      </c>
      <c r="G35" s="82"/>
      <c r="H35" s="30"/>
      <c r="I35" s="30"/>
      <c r="J35" s="39">
        <f t="shared" si="0"/>
        <v>0</v>
      </c>
      <c r="K35" s="30"/>
      <c r="L35" s="32"/>
      <c r="M35" s="32"/>
      <c r="N35" s="3"/>
    </row>
    <row r="36" spans="1:14" x14ac:dyDescent="0.3">
      <c r="A36" s="32">
        <v>31</v>
      </c>
      <c r="B36" s="36" t="s">
        <v>174</v>
      </c>
      <c r="C36" s="3" t="s">
        <v>351</v>
      </c>
      <c r="D36" s="77" t="s">
        <v>306</v>
      </c>
      <c r="E36" s="3" t="s">
        <v>307</v>
      </c>
      <c r="F36" s="46" t="s">
        <v>216</v>
      </c>
      <c r="G36" s="79" t="s">
        <v>308</v>
      </c>
      <c r="H36" s="30"/>
      <c r="I36" s="30"/>
      <c r="J36" s="39">
        <f t="shared" si="0"/>
        <v>0</v>
      </c>
      <c r="K36" s="30"/>
      <c r="L36" s="32"/>
      <c r="M36" s="32"/>
      <c r="N36" s="3"/>
    </row>
    <row r="37" spans="1:14" x14ac:dyDescent="0.3">
      <c r="A37" s="32">
        <v>32</v>
      </c>
      <c r="B37" s="36" t="s">
        <v>174</v>
      </c>
      <c r="C37" s="3" t="s">
        <v>352</v>
      </c>
      <c r="D37" s="78"/>
      <c r="E37" s="3" t="s">
        <v>310</v>
      </c>
      <c r="F37" s="46" t="s">
        <v>216</v>
      </c>
      <c r="G37" s="80"/>
      <c r="H37" s="30"/>
      <c r="I37" s="30"/>
      <c r="J37" s="39">
        <f t="shared" si="0"/>
        <v>0</v>
      </c>
      <c r="K37" s="30"/>
      <c r="L37" s="32"/>
      <c r="M37" s="32"/>
      <c r="N37" s="3"/>
    </row>
    <row r="38" spans="1:14" x14ac:dyDescent="0.3">
      <c r="A38" s="32">
        <v>33</v>
      </c>
      <c r="B38" s="36" t="s">
        <v>174</v>
      </c>
      <c r="C38" s="46" t="s">
        <v>311</v>
      </c>
      <c r="D38" s="46"/>
      <c r="E38" s="3" t="s">
        <v>312</v>
      </c>
      <c r="F38" s="46" t="s">
        <v>216</v>
      </c>
      <c r="G38" s="80" t="s">
        <v>227</v>
      </c>
      <c r="H38" s="30"/>
      <c r="I38" s="30"/>
      <c r="J38" s="39">
        <f t="shared" si="0"/>
        <v>0</v>
      </c>
      <c r="K38" s="30"/>
      <c r="L38" s="32"/>
      <c r="M38" s="32"/>
      <c r="N38" s="3"/>
    </row>
    <row r="39" spans="1:14" x14ac:dyDescent="0.3">
      <c r="A39" s="32">
        <v>34</v>
      </c>
      <c r="B39" s="36" t="s">
        <v>313</v>
      </c>
      <c r="C39" s="3" t="s">
        <v>314</v>
      </c>
      <c r="D39" s="3"/>
      <c r="E39" s="3" t="s">
        <v>315</v>
      </c>
      <c r="F39" s="46" t="s">
        <v>216</v>
      </c>
      <c r="G39" s="80"/>
      <c r="H39" s="30"/>
      <c r="I39" s="30"/>
      <c r="J39" s="39">
        <f t="shared" si="0"/>
        <v>0</v>
      </c>
      <c r="K39" s="30"/>
      <c r="L39" s="32"/>
      <c r="M39" s="32"/>
      <c r="N39" s="3"/>
    </row>
    <row r="40" spans="1:14" ht="29.1" customHeight="1" x14ac:dyDescent="0.3">
      <c r="A40" s="32">
        <v>35</v>
      </c>
      <c r="B40" s="36" t="s">
        <v>313</v>
      </c>
      <c r="C40" s="3" t="s">
        <v>316</v>
      </c>
      <c r="D40" s="3"/>
      <c r="E40" s="3" t="s">
        <v>317</v>
      </c>
      <c r="F40" s="46" t="s">
        <v>216</v>
      </c>
      <c r="G40" s="80"/>
      <c r="H40" s="30"/>
      <c r="I40" s="30"/>
      <c r="J40" s="39">
        <f t="shared" si="0"/>
        <v>0</v>
      </c>
      <c r="K40" s="30"/>
      <c r="L40" s="32"/>
      <c r="M40" s="32"/>
      <c r="N40" s="3"/>
    </row>
    <row r="41" spans="1:14" ht="61.5" customHeight="1" x14ac:dyDescent="0.3">
      <c r="A41" s="32">
        <v>36</v>
      </c>
      <c r="B41" s="36" t="s">
        <v>313</v>
      </c>
      <c r="C41" s="3" t="s">
        <v>318</v>
      </c>
      <c r="D41" s="3"/>
      <c r="E41" s="3" t="s">
        <v>319</v>
      </c>
      <c r="F41" s="46" t="s">
        <v>216</v>
      </c>
      <c r="G41" s="80"/>
      <c r="H41" s="30"/>
      <c r="I41" s="30"/>
      <c r="J41" s="39">
        <f t="shared" si="0"/>
        <v>0</v>
      </c>
      <c r="K41" s="30"/>
      <c r="L41" s="32"/>
      <c r="M41" s="32"/>
      <c r="N41" s="3"/>
    </row>
    <row r="42" spans="1:14" ht="29.1" customHeight="1" x14ac:dyDescent="0.3">
      <c r="A42" s="32">
        <v>37</v>
      </c>
      <c r="B42" s="37" t="str">
        <f>Dashboard!$A$15</f>
        <v>Day-of Event Execution</v>
      </c>
      <c r="C42" s="3" t="s">
        <v>320</v>
      </c>
      <c r="D42" s="3"/>
      <c r="E42" s="3" t="s">
        <v>321</v>
      </c>
      <c r="F42" s="46" t="s">
        <v>216</v>
      </c>
      <c r="G42" s="80"/>
      <c r="H42" s="30"/>
      <c r="I42" s="30"/>
      <c r="J42" s="39">
        <f t="shared" si="0"/>
        <v>0</v>
      </c>
      <c r="K42" s="30"/>
      <c r="L42" s="32"/>
      <c r="M42" s="32"/>
      <c r="N42" s="3"/>
    </row>
    <row r="43" spans="1:14" ht="29.1" customHeight="1" x14ac:dyDescent="0.3">
      <c r="A43" s="32"/>
      <c r="B43" s="37" t="str">
        <f>Dashboard!$A$15</f>
        <v>Day-of Event Execution</v>
      </c>
      <c r="C43" s="3" t="s">
        <v>322</v>
      </c>
      <c r="D43" s="3"/>
      <c r="E43" s="3"/>
      <c r="F43" s="46"/>
      <c r="G43" s="80"/>
      <c r="H43" s="30"/>
      <c r="I43" s="30"/>
      <c r="J43" s="39"/>
      <c r="K43" s="30"/>
      <c r="L43" s="32"/>
      <c r="M43" s="32"/>
      <c r="N43" s="3"/>
    </row>
    <row r="44" spans="1:14" x14ac:dyDescent="0.3">
      <c r="A44" s="32">
        <v>38</v>
      </c>
      <c r="B44" s="37" t="str">
        <f>Dashboard!$A$15</f>
        <v>Day-of Event Execution</v>
      </c>
      <c r="C44" s="3" t="s">
        <v>323</v>
      </c>
      <c r="D44" s="3"/>
      <c r="E44" s="3" t="s">
        <v>324</v>
      </c>
      <c r="F44" s="46" t="s">
        <v>216</v>
      </c>
      <c r="G44" s="80"/>
      <c r="H44" s="30"/>
      <c r="I44" s="30"/>
      <c r="J44" s="39">
        <f t="shared" si="0"/>
        <v>0</v>
      </c>
      <c r="K44" s="30"/>
      <c r="L44" s="32"/>
      <c r="M44" s="32"/>
      <c r="N44" s="3"/>
    </row>
    <row r="45" spans="1:14" x14ac:dyDescent="0.3">
      <c r="A45" s="32">
        <v>39</v>
      </c>
      <c r="B45" s="38" t="str">
        <f>Dashboard!$A$16</f>
        <v>Post-Event Follow-Up</v>
      </c>
      <c r="C45" s="3" t="s">
        <v>325</v>
      </c>
      <c r="D45" s="3"/>
      <c r="E45" s="3" t="s">
        <v>312</v>
      </c>
      <c r="F45" s="46" t="s">
        <v>216</v>
      </c>
      <c r="G45" s="80"/>
      <c r="H45" s="30"/>
      <c r="I45" s="30"/>
      <c r="J45" s="39">
        <f t="shared" si="0"/>
        <v>0</v>
      </c>
      <c r="K45" s="30"/>
      <c r="L45" s="32"/>
      <c r="M45" s="32"/>
      <c r="N45" s="3"/>
    </row>
    <row r="46" spans="1:14" ht="28.8" x14ac:dyDescent="0.3">
      <c r="A46" s="32">
        <v>40</v>
      </c>
      <c r="B46" s="38" t="str">
        <f>Dashboard!$A$16</f>
        <v>Post-Event Follow-Up</v>
      </c>
      <c r="C46" s="3" t="s">
        <v>326</v>
      </c>
      <c r="D46" s="3"/>
      <c r="E46" s="8" t="s">
        <v>327</v>
      </c>
      <c r="F46" s="46" t="s">
        <v>328</v>
      </c>
      <c r="G46" s="82"/>
      <c r="H46" s="30"/>
      <c r="I46" s="30"/>
      <c r="J46" s="39">
        <f t="shared" si="0"/>
        <v>0</v>
      </c>
      <c r="K46" s="30"/>
      <c r="L46" s="32"/>
      <c r="M46" s="32"/>
      <c r="N46" s="3"/>
    </row>
    <row r="47" spans="1:14" ht="29.1" customHeight="1" x14ac:dyDescent="0.3">
      <c r="A47" s="32">
        <v>41</v>
      </c>
      <c r="B47" s="38" t="str">
        <f>Dashboard!$A$16</f>
        <v>Post-Event Follow-Up</v>
      </c>
      <c r="C47" s="3" t="s">
        <v>329</v>
      </c>
      <c r="D47" s="3"/>
      <c r="E47" s="3" t="s">
        <v>209</v>
      </c>
      <c r="F47" s="46" t="s">
        <v>216</v>
      </c>
      <c r="G47" s="79" t="s">
        <v>330</v>
      </c>
      <c r="H47" s="30"/>
      <c r="I47" s="30"/>
      <c r="J47" s="39">
        <f>_xlfn.DAYS(I47,H47)</f>
        <v>0</v>
      </c>
      <c r="K47" s="30"/>
      <c r="L47" s="32"/>
      <c r="M47" s="32"/>
      <c r="N47" s="3"/>
    </row>
    <row r="48" spans="1:14" x14ac:dyDescent="0.3">
      <c r="A48" s="32">
        <v>42</v>
      </c>
      <c r="B48" s="38" t="str">
        <f>Dashboard!$A$16</f>
        <v>Post-Event Follow-Up</v>
      </c>
      <c r="C48" s="3" t="s">
        <v>210</v>
      </c>
      <c r="D48" s="3"/>
      <c r="E48" s="3" t="s">
        <v>211</v>
      </c>
      <c r="F48" s="46" t="s">
        <v>216</v>
      </c>
      <c r="G48" s="82"/>
      <c r="H48" s="30"/>
      <c r="I48" s="30"/>
      <c r="J48" s="39">
        <f t="shared" si="0"/>
        <v>0</v>
      </c>
      <c r="K48" s="30"/>
      <c r="L48" s="32"/>
      <c r="M48" s="32"/>
      <c r="N48" s="3"/>
    </row>
  </sheetData>
  <mergeCells count="15">
    <mergeCell ref="G38:G46"/>
    <mergeCell ref="G47:G48"/>
    <mergeCell ref="D36:D37"/>
    <mergeCell ref="G19:G20"/>
    <mergeCell ref="G21:G26"/>
    <mergeCell ref="G28:G29"/>
    <mergeCell ref="G30:G33"/>
    <mergeCell ref="G34:G35"/>
    <mergeCell ref="G36:G37"/>
    <mergeCell ref="G15:G16"/>
    <mergeCell ref="A1:E1"/>
    <mergeCell ref="G4:G5"/>
    <mergeCell ref="G6:G9"/>
    <mergeCell ref="G11:G12"/>
    <mergeCell ref="G13:G14"/>
  </mergeCells>
  <conditionalFormatting sqref="M4:M58">
    <cfRule type="containsText" dxfId="1" priority="1" operator="containsText" text="In Progress">
      <formula>NOT(ISERROR(SEARCH("In Progress",M4)))</formula>
    </cfRule>
    <cfRule type="containsText" dxfId="0" priority="2" operator="containsText" text="Complete">
      <formula>NOT(ISERROR(SEARCH("Complete",M4)))</formula>
    </cfRule>
  </conditionalFormatting>
  <dataValidations count="1">
    <dataValidation type="list" allowBlank="1" showInputMessage="1" showErrorMessage="1" sqref="M4:M48" xr:uid="{7B00359A-42AF-4B22-9A8B-3A1598F5D9EA}">
      <formula1>"Complete, In progress, --"</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BCF59FE-E83E-43E7-BF2D-7181FD6C04BB}">
          <x14:formula1>
            <xm:f>Dashboard!$A$20:$A$30</xm:f>
          </x14:formula1>
          <xm:sqref>L4:L48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8" sqref="C8"/>
    </sheetView>
  </sheetViews>
  <sheetFormatPr defaultRowHeight="14.4" x14ac:dyDescent="0.3"/>
  <cols>
    <col min="1" max="1" width="42.33203125" style="1" customWidth="1"/>
    <col min="2" max="2" width="36" style="1" customWidth="1"/>
    <col min="3" max="3" width="38.109375" style="21" customWidth="1"/>
    <col min="9" max="9" width="22.5546875" customWidth="1"/>
  </cols>
  <sheetData>
    <row r="1" spans="1:3" x14ac:dyDescent="0.3">
      <c r="A1" s="15" t="s">
        <v>6</v>
      </c>
      <c r="B1" s="15" t="s">
        <v>355</v>
      </c>
      <c r="C1" s="22" t="s">
        <v>62</v>
      </c>
    </row>
    <row r="2" spans="1:3" ht="26.1" customHeight="1" x14ac:dyDescent="0.3">
      <c r="A2" s="23" t="s">
        <v>356</v>
      </c>
      <c r="B2" s="26" t="s">
        <v>357</v>
      </c>
      <c r="C2" s="27"/>
    </row>
    <row r="3" spans="1:3" ht="28.8" x14ac:dyDescent="0.3">
      <c r="A3" s="23" t="s">
        <v>358</v>
      </c>
      <c r="B3" s="26" t="s">
        <v>359</v>
      </c>
      <c r="C3" s="27"/>
    </row>
    <row r="4" spans="1:3" ht="43.2" x14ac:dyDescent="0.3">
      <c r="A4" s="23" t="s">
        <v>360</v>
      </c>
      <c r="B4" s="24" t="s">
        <v>361</v>
      </c>
      <c r="C4" s="25" t="s">
        <v>362</v>
      </c>
    </row>
    <row r="5" spans="1:3" ht="81.900000000000006" customHeight="1" x14ac:dyDescent="0.3">
      <c r="A5" s="23" t="s">
        <v>363</v>
      </c>
      <c r="B5" s="26" t="s">
        <v>364</v>
      </c>
      <c r="C5" s="25" t="s">
        <v>365</v>
      </c>
    </row>
    <row r="8" spans="1:3" ht="57.9" customHeight="1" x14ac:dyDescent="0.3"/>
  </sheetData>
  <hyperlinks>
    <hyperlink ref="B2" r:id="rId1" display="https://nam10.safelinks.protection.outlook.com/?url=https%3A%2F%2Fdeloittecan.service-now.com%2Fmysupport%3Fid%3Dsc_cat_item%26table%3Dsc_cat_item%26sys_id%3D5775b3c4dbba9050f85c9427db96197e&amp;data=05%7C02%7Cvwidyadharma%40deloitte.ca%7Cdcd3f44653dd4b40697608dec24a9da6%7C36da45f1dd2c4d1faf135abe46b99921%7C0%7C0%7C639161822969540151%7CUnknown%7CTWFpbGZsb3d8eyJFbXB0eU1hcGkiOnRydWUsIlYiOiIwLjAuMDAwMCIsIlAiOiJXaW4zMiIsIkFOIjoiTWFpbCIsIldUIjoyfQ%3D%3D%7C0%7C%7C%7C&amp;sdata=egVh9gBWVRs9b%2FkEzamcxjSGTOoin4Zh89OJVb91ydU%3D&amp;reserved=0" xr:uid="{8076A26C-D55E-455B-8002-25AE8B83CB93}"/>
    <hyperlink ref="B3" r:id="rId2" display="https://nam10.safelinks.protection.outlook.com/?url=https%3A%2F%2Fdeloittecan.service-now.com%2Fmysupport%3Fid%3Dsc_cat_item%26sys_id%3Dc9056db21b50281866f7bbb21a4bcb9c%26topic%3Dnull&amp;data=05%7C02%7Cvwidyadharma%40deloitte.ca%7Cdcd3f44653dd4b40697608dec24a9da6%7C36da45f1dd2c4d1faf135abe46b99921%7C0%7C0%7C639161822970082036%7CUnknown%7CTWFpbGZsb3d8eyJFbXB0eU1hcGkiOnRydWUsIlYiOiIwLjAuMDAwMCIsIlAiOiJXaW4zMiIsIkFOIjoiTWFpbCIsIldUIjoyfQ%3D%3D%7C0%7C%7C%7C&amp;sdata=ZQT9rsNfk%2Fx2lWoAJ0zwHnUpzTEfrlTR1eWVdOgt2Xw%3D&amp;reserved=0" xr:uid="{8EDEC0F6-0736-40CC-9B8A-64DEA7D59DCB}"/>
    <hyperlink ref="B5" r:id="rId3" display="https://nam10.safelinks.protection.outlook.com/?url=https%3A%2F%2Fdeloittecan.service-now.com%2Fmysupport%3Fid%3Dsc_cat_item%26sys_id%3D8db25b524f44c340bdd2e3414210c7dc%26table%3Dsc_cat_item%26searchTerm%3Dlanyard&amp;data=05%7C02%7Cvwidyadharma%40deloitte.ca%7Cdcd3f44653dd4b40697608dec24a9da6%7C36da45f1dd2c4d1faf135abe46b99921%7C0%7C0%7C639161822970368034%7CUnknown%7CTWFpbGZsb3d8eyJFbXB0eU1hcGkiOnRydWUsIlYiOiIwLjAuMDAwMCIsIlAiOiJXaW4zMiIsIkFOIjoiTWFpbCIsIldUIjoyfQ%3D%3D%7C0%7C%7C%7C&amp;sdata=hUfaPAZZAvl6WBDDHVyCHsTiiK3fhCJqFwwFYrME77A%3D&amp;reserved=0" xr:uid="{FBA2F6B0-CB70-4F14-A772-E2042BBABEBC}"/>
    <hyperlink ref="B4" r:id="rId4" tooltip="https://deloittecan.service-now.com/mysupport?id=sc_cat_item&amp;sys_id=8dd7f3a4db42ba509ccc7fb5f3961994&amp;topic=4adc5a1c1b35511066f7bbb21a4bcb47" display="https://nam10.safelinks.protection.outlook.com/?url=https%3A%2F%2Fdeloittecan.service-now.com%2Fmysupport%3Fid%3Dsc_cat_item%26sys_id%3D8dd7f3a4db42ba509ccc7fb5f3961994%26topic%3D4adc5a1c1b35511066f7bbb21a4bcb47&amp;data=05%7C02%7Cvwidyadharma%40deloitte.ca%7Cdcd3f44653dd4b40697608dec24a9da6%7C36da45f1dd2c4d1faf135abe46b99921%7C0%7C0%7C639161822970249910%7CUnknown%7CTWFpbGZsb3d8eyJFbXB0eU1hcGkiOnRydWUsIlYiOiIwLjAuMDAwMCIsIlAiOiJXaW4zMiIsIkFOIjoiTWFpbCIsIldUIjoyfQ%3D%3D%7C0%7C%7C%7C&amp;sdata=982g60pr%2BnOWp4Iwi5D8hxm4G5hYTgF2dzf%2B6mLWZ%2BQ%3D&amp;reserved=0" xr:uid="{5AFD3549-8CC8-49C3-8D70-E4A45061952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FCB00C918B2443B80907B84B09A22E" ma:contentTypeVersion="19" ma:contentTypeDescription="Create a new document." ma:contentTypeScope="" ma:versionID="0209b7e1308bf484556ceb4a68489356">
  <xsd:schema xmlns:xsd="http://www.w3.org/2001/XMLSchema" xmlns:xs="http://www.w3.org/2001/XMLSchema" xmlns:p="http://schemas.microsoft.com/office/2006/metadata/properties" xmlns:ns2="9e7d4968-8f37-4d72-908e-47a7d600f0ff" xmlns:ns3="2c4f3f10-61a7-41ea-87a1-dc85224797fb" targetNamespace="http://schemas.microsoft.com/office/2006/metadata/properties" ma:root="true" ma:fieldsID="c38550134959f42af1206851be856e6d" ns2:_="" ns3:_="">
    <xsd:import namespace="9e7d4968-8f37-4d72-908e-47a7d600f0ff"/>
    <xsd:import namespace="2c4f3f10-61a7-41ea-87a1-dc85224797f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7d4968-8f37-4d72-908e-47a7d600f0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4f3f10-61a7-41ea-87a1-dc85224797f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225a61d-2c1b-4100-89ae-65952ac8af99}" ma:internalName="TaxCatchAll" ma:showField="CatchAllData" ma:web="2c4f3f10-61a7-41ea-87a1-dc85224797f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c4f3f10-61a7-41ea-87a1-dc85224797fb" xsi:nil="true"/>
    <lcf76f155ced4ddcb4097134ff3c332f xmlns="9e7d4968-8f37-4d72-908e-47a7d600f0f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025088E-9B35-498F-ACA0-457385730A10}">
  <ds:schemaRefs>
    <ds:schemaRef ds:uri="http://schemas.microsoft.com/sharepoint/v3/contenttype/forms"/>
  </ds:schemaRefs>
</ds:datastoreItem>
</file>

<file path=customXml/itemProps2.xml><?xml version="1.0" encoding="utf-8"?>
<ds:datastoreItem xmlns:ds="http://schemas.openxmlformats.org/officeDocument/2006/customXml" ds:itemID="{57C155A9-81F5-469E-AEA2-4B9A2B143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7d4968-8f37-4d72-908e-47a7d600f0ff"/>
    <ds:schemaRef ds:uri="2c4f3f10-61a7-41ea-87a1-dc85224797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46A87A-54CC-4B48-BAD7-CAA8262EE538}">
  <ds:schemaRefs>
    <ds:schemaRef ds:uri="http://schemas.microsoft.com/office/2006/metadata/properties"/>
    <ds:schemaRef ds:uri="http://purl.org/dc/terms/"/>
    <ds:schemaRef ds:uri="http://schemas.microsoft.com/office/2006/documentManagement/types"/>
    <ds:schemaRef ds:uri="2c4f3f10-61a7-41ea-87a1-dc85224797fb"/>
    <ds:schemaRef ds:uri="http://purl.org/dc/elements/1.1/"/>
    <ds:schemaRef ds:uri="http://schemas.microsoft.com/office/infopath/2007/PartnerControls"/>
    <ds:schemaRef ds:uri="http://schemas.openxmlformats.org/package/2006/metadata/core-properties"/>
    <ds:schemaRef ds:uri="9e7d4968-8f37-4d72-908e-47a7d600f0ff"/>
    <ds:schemaRef ds:uri="http://www.w3.org/XML/1998/namespace"/>
    <ds:schemaRef ds:uri="http://purl.org/dc/dcmitype/"/>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How to use</vt:lpstr>
      <vt:lpstr>Dashboard</vt:lpstr>
      <vt:lpstr>Gantt Chart</vt:lpstr>
      <vt:lpstr>ACTIVITIES NEW</vt:lpstr>
      <vt:lpstr>Activities (2)</vt:lpstr>
      <vt:lpstr>Team Coordination</vt:lpstr>
      <vt:lpstr>OLD Activities</vt:lpstr>
      <vt:lpstr>Activities</vt:lpstr>
      <vt:lpstr>OLD Activities (2)</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Widyadharma, Vanessa</dc:creator>
  <cp:keywords/>
  <dc:description/>
  <cp:lastModifiedBy>Lin, David</cp:lastModifiedBy>
  <cp:revision/>
  <dcterms:created xsi:type="dcterms:W3CDTF">2026-06-25T20:23:25Z</dcterms:created>
  <dcterms:modified xsi:type="dcterms:W3CDTF">2026-08-25T14:02:24Z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0x01010041FCB00C918B2443B80907B84B09A22E</vt:lpwstr>
  </property>
  <property fmtid="{D5CDD505-2E9C-101B-9397-08002B2CF9AE}" pid="3" name="MediaServiceImageTags">
    <vt:lpwstr/>
  </property>
</Properties>
</file>